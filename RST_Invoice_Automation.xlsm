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5" windowWidth="11415" windowHeight="4635"/>
  </bookViews>
  <sheets>
    <sheet name="Invoice_Data" sheetId="5" r:id="rId1"/>
    <sheet name="Invoice_Template" sheetId="2" r:id="rId2"/>
  </sheets>
  <functionGroups/>
  <definedNames>
    <definedName name="_xlnm._FilterDatabase" localSheetId="0" hidden="1">Invoice_Data!$A$6:$T$8</definedName>
    <definedName name="GG00000001_">#REF!</definedName>
  </definedNames>
  <calcPr calcId="124519"/>
</workbook>
</file>

<file path=xl/calcChain.xml><?xml version="1.0" encoding="utf-8"?>
<calcChain xmlns="http://schemas.openxmlformats.org/spreadsheetml/2006/main">
  <c r="G2" i="2"/>
  <c r="P10" i="5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9"/>
  <c r="K7"/>
  <c r="G4" i="2"/>
  <c r="E14"/>
  <c r="F2"/>
  <c r="G25"/>
  <c r="E23"/>
  <c r="E22"/>
  <c r="F18"/>
  <c r="G18"/>
  <c r="K8" i="5"/>
  <c r="E10" i="2"/>
  <c r="F10"/>
  <c r="F9"/>
  <c r="E13"/>
  <c r="E9"/>
  <c r="F1"/>
  <c r="M8" i="5" l="1"/>
  <c r="M7"/>
  <c r="G23" i="2" l="1"/>
  <c r="O8" i="5"/>
  <c r="P8" s="1"/>
  <c r="O7"/>
  <c r="P7" s="1"/>
  <c r="G22" i="2" l="1"/>
  <c r="G21"/>
  <c r="G24" l="1"/>
</calcChain>
</file>

<file path=xl/sharedStrings.xml><?xml version="1.0" encoding="utf-8"?>
<sst xmlns="http://schemas.openxmlformats.org/spreadsheetml/2006/main" count="69" uniqueCount="61">
  <si>
    <t>Total</t>
  </si>
  <si>
    <t>INVOICE</t>
  </si>
  <si>
    <t>COMPANY ADDRESS</t>
  </si>
  <si>
    <t>BILL TO</t>
  </si>
  <si>
    <t>AMOUNT</t>
  </si>
  <si>
    <t>TOTAL</t>
  </si>
  <si>
    <t>SIGNATURE</t>
  </si>
  <si>
    <t>FIRST ID</t>
  </si>
  <si>
    <t>MAX ID</t>
  </si>
  <si>
    <t>Invoice ID</t>
  </si>
  <si>
    <t>Sub-Total</t>
  </si>
  <si>
    <t>Discount(%)</t>
  </si>
  <si>
    <t>Discount(Rs)</t>
  </si>
  <si>
    <t>Payment</t>
  </si>
  <si>
    <t>Cusomer Name</t>
  </si>
  <si>
    <t>M. K. Cook.</t>
  </si>
  <si>
    <t>Paid</t>
  </si>
  <si>
    <t>Cust Adress</t>
  </si>
  <si>
    <t>32 ABC,Kol-52</t>
  </si>
  <si>
    <t>GST(%)</t>
  </si>
  <si>
    <t>GST(Rs)</t>
  </si>
  <si>
    <t xml:space="preserve"> </t>
  </si>
  <si>
    <t>PACKAGE</t>
  </si>
  <si>
    <t>PACKAGE DESCRIPTION</t>
  </si>
  <si>
    <t>Back</t>
  </si>
  <si>
    <t>Mobile No</t>
  </si>
  <si>
    <t xml:space="preserve">Search Customer </t>
  </si>
  <si>
    <t>32,AB,CD,BIShop</t>
  </si>
  <si>
    <t>Email Adress</t>
  </si>
  <si>
    <t>%  GST</t>
  </si>
  <si>
    <t xml:space="preserve">SUBTOTAL </t>
  </si>
  <si>
    <t>% DISCOUNT</t>
  </si>
  <si>
    <t xml:space="preserve"> ©Ratq Science &amp; Tech</t>
  </si>
  <si>
    <t>Item ID</t>
  </si>
  <si>
    <t>Item Description</t>
  </si>
  <si>
    <t>Quantity</t>
  </si>
  <si>
    <t>Price ( ₹)/Item</t>
  </si>
  <si>
    <t>Product867</t>
  </si>
  <si>
    <t>Manufacturer/Seller Code</t>
  </si>
  <si>
    <t>Manufacturer name</t>
  </si>
  <si>
    <t>Order Status</t>
  </si>
  <si>
    <t>Shipped</t>
  </si>
  <si>
    <t>Delivered</t>
  </si>
  <si>
    <t>Date of Order</t>
  </si>
  <si>
    <t>[Insert your Logo here]</t>
  </si>
  <si>
    <t>XXX99999999</t>
  </si>
  <si>
    <t>XXX@gmail.com</t>
  </si>
  <si>
    <t>XXX00000001</t>
  </si>
  <si>
    <t>XXX0001</t>
  </si>
  <si>
    <t>E:\RST\Projects\Invoice-system</t>
  </si>
  <si>
    <t>9nnnnnnnnn</t>
  </si>
  <si>
    <t>8nnnnnnnnn</t>
  </si>
  <si>
    <t>XXX00000002</t>
  </si>
  <si>
    <t>A.Singh</t>
  </si>
  <si>
    <t>33 ABC,Kol-52</t>
  </si>
  <si>
    <t>XXX0002</t>
  </si>
  <si>
    <t>Product868</t>
  </si>
  <si>
    <t>Temp</t>
  </si>
  <si>
    <t>Due</t>
  </si>
  <si>
    <t>Order Confirmed</t>
  </si>
  <si>
    <t>Bill Generated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</si>
</sst>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mmmm\ d\ yyyy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/>
    <xf numFmtId="0" fontId="0" fillId="0" borderId="0" xfId="0" applyAlignment="1">
      <alignment horizontal="center" wrapText="1"/>
    </xf>
    <xf numFmtId="49" fontId="0" fillId="0" borderId="0" xfId="0" applyNumberFormat="1"/>
    <xf numFmtId="2" fontId="0" fillId="0" borderId="0" xfId="0" applyNumberFormat="1" applyAlignment="1">
      <alignment horizontal="center" wrapText="1"/>
    </xf>
    <xf numFmtId="0" fontId="0" fillId="2" borderId="0" xfId="0" applyFill="1"/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horizontal="centerContinuous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4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/>
    <xf numFmtId="0" fontId="0" fillId="4" borderId="6" xfId="0" applyFill="1" applyBorder="1" applyAlignment="1">
      <alignment horizontal="center"/>
    </xf>
    <xf numFmtId="0" fontId="0" fillId="0" borderId="12" xfId="0" applyBorder="1"/>
    <xf numFmtId="0" fontId="0" fillId="5" borderId="8" xfId="0" applyFill="1" applyBorder="1" applyAlignment="1">
      <alignment horizontal="left"/>
    </xf>
    <xf numFmtId="0" fontId="0" fillId="5" borderId="3" xfId="0" applyFill="1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4" xfId="0" applyBorder="1"/>
    <xf numFmtId="0" fontId="1" fillId="6" borderId="1" xfId="0" applyFont="1" applyFill="1" applyBorder="1" applyAlignment="1">
      <alignment horizontal="right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3" fillId="0" borderId="0" xfId="1" applyAlignment="1" applyProtection="1">
      <alignment horizontal="center"/>
    </xf>
    <xf numFmtId="0" fontId="0" fillId="4" borderId="13" xfId="0" applyFill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0" borderId="2" xfId="0" applyBorder="1" applyAlignment="1">
      <alignment wrapText="1"/>
    </xf>
    <xf numFmtId="164" fontId="0" fillId="4" borderId="4" xfId="0" applyNumberFormat="1" applyFill="1" applyBorder="1" applyAlignment="1">
      <alignment horizontal="center"/>
    </xf>
    <xf numFmtId="0" fontId="0" fillId="4" borderId="2" xfId="0" applyFill="1" applyBorder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3" xfId="0" applyFill="1" applyBorder="1"/>
    <xf numFmtId="0" fontId="0" fillId="5" borderId="5" xfId="0" applyFill="1" applyBorder="1"/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/>
    <xf numFmtId="0" fontId="0" fillId="8" borderId="1" xfId="0" applyFill="1" applyBorder="1"/>
    <xf numFmtId="0" fontId="0" fillId="0" borderId="18" xfId="0" applyBorder="1" applyAlignment="1">
      <alignment horizontal="center" wrapText="1"/>
    </xf>
    <xf numFmtId="164" fontId="0" fillId="8" borderId="5" xfId="0" applyNumberFormat="1" applyFill="1" applyBorder="1"/>
    <xf numFmtId="0" fontId="4" fillId="4" borderId="17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5050"/>
      <color rgb="FFCC3300"/>
      <color rgb="FFFF3300"/>
      <color rgb="FFFF0000"/>
      <color rgb="FFCC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371;1005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847;2408"/>
  <ax:ocxPr ax:name="Value" ax:value="XXX00000001"/>
  <ax:ocxPr ax:name="FontName" ax:value="Calibri"/>
  <ax:ocxPr ax:name="FontHeight" ax:value="22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27</xdr:row>
      <xdr:rowOff>0</xdr:rowOff>
    </xdr:from>
    <xdr:to>
      <xdr:col>7</xdr:col>
      <xdr:colOff>9525</xdr:colOff>
      <xdr:row>27</xdr:row>
      <xdr:rowOff>1588</xdr:rowOff>
    </xdr:to>
    <xdr:cxnSp macro="">
      <xdr:nvCxnSpPr>
        <xdr:cNvPr id="7" name="Straight Connector 6"/>
        <xdr:cNvCxnSpPr/>
      </xdr:nvCxnSpPr>
      <xdr:spPr>
        <a:xfrm>
          <a:off x="7400925" y="6858000"/>
          <a:ext cx="1276350" cy="1588"/>
        </a:xfrm>
        <a:prstGeom prst="line">
          <a:avLst/>
        </a:prstGeom>
        <a:ln w="19050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0</xdr:row>
      <xdr:rowOff>95250</xdr:rowOff>
    </xdr:from>
    <xdr:to>
      <xdr:col>6</xdr:col>
      <xdr:colOff>95250</xdr:colOff>
      <xdr:row>1</xdr:row>
      <xdr:rowOff>38100</xdr:rowOff>
    </xdr:to>
    <xdr:grpSp>
      <xdr:nvGrpSpPr>
        <xdr:cNvPr id="8294" name="BC$F$1#GR"/>
        <xdr:cNvGrpSpPr/>
      </xdr:nvGrpSpPr>
      <xdr:grpSpPr>
        <a:xfrm>
          <a:off x="7658100" y="95250"/>
          <a:ext cx="1457325" cy="952500"/>
          <a:chOff x="0" y="0"/>
          <a:chExt cx="698500" cy="698500"/>
        </a:xfrm>
      </xdr:grpSpPr>
      <xdr:grpSp>
        <xdr:nvGrpSpPr>
          <xdr:cNvPr id="8292" name="BC$F$1#GR"/>
          <xdr:cNvGrpSpPr/>
        </xdr:nvGrpSpPr>
        <xdr:grpSpPr>
          <a:xfrm>
            <a:off x="0" y="0"/>
            <a:ext cx="698500" cy="698500"/>
            <a:chOff x="0" y="0"/>
            <a:chExt cx="698500" cy="698500"/>
          </a:xfrm>
        </xdr:grpSpPr>
        <xdr:grpSp>
          <xdr:nvGrpSpPr>
            <xdr:cNvPr id="8290" name="BC$F$1#GR"/>
            <xdr:cNvGrpSpPr/>
          </xdr:nvGrpSpPr>
          <xdr:grpSpPr>
            <a:xfrm>
              <a:off x="0" y="0"/>
              <a:ext cx="698500" cy="698500"/>
              <a:chOff x="0" y="0"/>
              <a:chExt cx="698500" cy="698500"/>
            </a:xfrm>
          </xdr:grpSpPr>
          <xdr:grpSp>
            <xdr:nvGrpSpPr>
              <xdr:cNvPr id="8288" name="BC$F$1#GR"/>
              <xdr:cNvGrpSpPr/>
            </xdr:nvGrpSpPr>
            <xdr:grpSpPr>
              <a:xfrm>
                <a:off x="0" y="0"/>
                <a:ext cx="698500" cy="698500"/>
                <a:chOff x="0" y="0"/>
                <a:chExt cx="698500" cy="698500"/>
              </a:xfrm>
            </xdr:grpSpPr>
            <xdr:grpSp>
              <xdr:nvGrpSpPr>
                <xdr:cNvPr id="8286" name="BC$F$1#GR"/>
                <xdr:cNvGrpSpPr/>
              </xdr:nvGrpSpPr>
              <xdr:grpSpPr>
                <a:xfrm>
                  <a:off x="0" y="0"/>
                  <a:ext cx="698500" cy="698500"/>
                  <a:chOff x="0" y="0"/>
                  <a:chExt cx="698500" cy="698500"/>
                </a:xfrm>
              </xdr:grpSpPr>
              <xdr:grpSp>
                <xdr:nvGrpSpPr>
                  <xdr:cNvPr id="8284" name="BC$F$1#GR"/>
                  <xdr:cNvGrpSpPr/>
                </xdr:nvGrpSpPr>
                <xdr:grpSpPr>
                  <a:xfrm>
                    <a:off x="0" y="0"/>
                    <a:ext cx="698500" cy="698500"/>
                    <a:chOff x="0" y="0"/>
                    <a:chExt cx="698500" cy="698500"/>
                  </a:xfrm>
                </xdr:grpSpPr>
                <xdr:grpSp>
                  <xdr:nvGrpSpPr>
                    <xdr:cNvPr id="8282" name="BC$F$1#GR"/>
                    <xdr:cNvGrpSpPr/>
                  </xdr:nvGrpSpPr>
                  <xdr:grpSpPr>
                    <a:xfrm>
                      <a:off x="0" y="0"/>
                      <a:ext cx="698500" cy="698500"/>
                      <a:chOff x="0" y="0"/>
                      <a:chExt cx="698500" cy="698500"/>
                    </a:xfrm>
                  </xdr:grpSpPr>
                  <xdr:grpSp>
                    <xdr:nvGrpSpPr>
                      <xdr:cNvPr id="8280" name="BC$F$1#GR"/>
                      <xdr:cNvGrpSpPr/>
                    </xdr:nvGrpSpPr>
                    <xdr:grpSpPr>
                      <a:xfrm>
                        <a:off x="0" y="0"/>
                        <a:ext cx="698500" cy="698500"/>
                        <a:chOff x="0" y="0"/>
                        <a:chExt cx="698500" cy="698500"/>
                      </a:xfrm>
                    </xdr:grpSpPr>
                    <xdr:grpSp>
                      <xdr:nvGrpSpPr>
                        <xdr:cNvPr id="8278" name="BC$F$1#GR"/>
                        <xdr:cNvGrpSpPr/>
                      </xdr:nvGrpSpPr>
                      <xdr:grpSpPr>
                        <a:xfrm>
                          <a:off x="0" y="0"/>
                          <a:ext cx="698500" cy="698500"/>
                          <a:chOff x="0" y="0"/>
                          <a:chExt cx="698500" cy="698500"/>
                        </a:xfrm>
                      </xdr:grpSpPr>
                      <xdr:grpSp>
                        <xdr:nvGrpSpPr>
                          <xdr:cNvPr id="8276" name="BC$F$1#GR"/>
                          <xdr:cNvGrpSpPr/>
                        </xdr:nvGrpSpPr>
                        <xdr:grpSpPr>
                          <a:xfrm>
                            <a:off x="0" y="0"/>
                            <a:ext cx="698500" cy="698500"/>
                            <a:chOff x="0" y="0"/>
                            <a:chExt cx="698500" cy="698500"/>
                          </a:xfrm>
                        </xdr:grpSpPr>
                        <xdr:grpSp>
                          <xdr:nvGrpSpPr>
                            <xdr:cNvPr id="8274" name="BC$F$1#GR"/>
                            <xdr:cNvGrpSpPr/>
                          </xdr:nvGrpSpPr>
                          <xdr:grpSpPr>
                            <a:xfrm>
                              <a:off x="0" y="0"/>
                              <a:ext cx="698500" cy="698500"/>
                              <a:chOff x="0" y="0"/>
                              <a:chExt cx="698500" cy="698500"/>
                            </a:xfrm>
                          </xdr:grpSpPr>
                          <xdr:grpSp>
                            <xdr:nvGrpSpPr>
                              <xdr:cNvPr id="8272" name="BC$F$1#GR"/>
                              <xdr:cNvGrpSpPr/>
                            </xdr:nvGrpSpPr>
                            <xdr:grpSpPr>
                              <a:xfrm>
                                <a:off x="0" y="0"/>
                                <a:ext cx="698500" cy="698500"/>
                                <a:chOff x="0" y="0"/>
                                <a:chExt cx="698500" cy="698500"/>
                              </a:xfrm>
                            </xdr:grpSpPr>
                            <xdr:grpSp>
                              <xdr:nvGrpSpPr>
                                <xdr:cNvPr id="8270" name="BC$F$1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698500" cy="698500"/>
                                  <a:chOff x="0" y="0"/>
                                  <a:chExt cx="698500" cy="698500"/>
                                </a:xfrm>
                              </xdr:grpSpPr>
                              <xdr:grpSp>
                                <xdr:nvGrpSpPr>
                                  <xdr:cNvPr id="8268" name="BC$F$1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698500" cy="698500"/>
                                    <a:chOff x="0" y="0"/>
                                    <a:chExt cx="698500" cy="698500"/>
                                  </a:xfrm>
                                </xdr:grpSpPr>
                                <xdr:grpSp>
                                  <xdr:nvGrpSpPr>
                                    <xdr:cNvPr id="8266" name="BC$F$1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698500" cy="698500"/>
                                      <a:chOff x="0" y="0"/>
                                      <a:chExt cx="698500" cy="698500"/>
                                    </a:xfrm>
                                  </xdr:grpSpPr>
                                  <xdr:grpSp>
                                    <xdr:nvGrpSpPr>
                                      <xdr:cNvPr id="8264" name="BC$F$1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698500" cy="698500"/>
                                        <a:chOff x="0" y="0"/>
                                        <a:chExt cx="698500" cy="698500"/>
                                      </a:xfrm>
                                    </xdr:grpSpPr>
                                    <xdr:grpSp>
                                      <xdr:nvGrpSpPr>
                                        <xdr:cNvPr id="8262" name="BC$F$1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698500" cy="698500"/>
                                          <a:chOff x="0" y="0"/>
                                          <a:chExt cx="698500" cy="698500"/>
                                        </a:xfrm>
                                      </xdr:grpSpPr>
                                      <xdr:grpSp>
                                        <xdr:nvGrpSpPr>
                                          <xdr:cNvPr id="8260" name="BC$F$1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698500" cy="698500"/>
                                            <a:chOff x="0" y="0"/>
                                            <a:chExt cx="698500" cy="698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8258" name="BC$F$1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698500" cy="698500"/>
                                              <a:chOff x="0" y="0"/>
                                              <a:chExt cx="698500" cy="698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8256" name="BC$F$1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698500" cy="698500"/>
                                                <a:chOff x="0" y="0"/>
                                                <a:chExt cx="698500" cy="698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8254" name="BC$F$1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698500" cy="698500"/>
                                                  <a:chOff x="0" y="0"/>
                                                  <a:chExt cx="698500" cy="698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8252" name="BC$F$1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698500" cy="698500"/>
                                                    <a:chOff x="0" y="0"/>
                                                    <a:chExt cx="698500" cy="698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8250" name="BC$F$1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698500" cy="698500"/>
                                                      <a:chOff x="0" y="0"/>
                                                      <a:chExt cx="698500" cy="698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8248" name="BC$F$1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698500" cy="698500"/>
                                                        <a:chOff x="0" y="0"/>
                                                        <a:chExt cx="698500" cy="698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8246" name="BC$F$1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698500" cy="698500"/>
                                                          <a:chOff x="0" y="0"/>
                                                          <a:chExt cx="698500" cy="698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8244" name="BC$F$1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698500" cy="698500"/>
                                                            <a:chOff x="0" y="0"/>
                                                            <a:chExt cx="698500" cy="698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8242" name="BC$F$1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698500" cy="698500"/>
                                                              <a:chOff x="0" y="0"/>
                                                              <a:chExt cx="698500" cy="698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8240" name="BC$F$1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698500" cy="698500"/>
                                                                <a:chOff x="0" y="0"/>
                                                                <a:chExt cx="698500" cy="698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8238" name="BC$F$1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698500" cy="698500"/>
                                                                  <a:chOff x="0" y="0"/>
                                                                  <a:chExt cx="698500" cy="698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8236" name="BC$F$1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698500" cy="698500"/>
                                                                    <a:chOff x="0" y="0"/>
                                                                    <a:chExt cx="698500" cy="698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8234" name="BC$F$1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698500" cy="698500"/>
                                                                      <a:chOff x="0" y="0"/>
                                                                      <a:chExt cx="698500" cy="698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8232" name="BC$F$1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698500" cy="698500"/>
                                                                        <a:chOff x="0" y="0"/>
                                                                        <a:chExt cx="698500" cy="698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8230" name="BC$F$1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698500" cy="698500"/>
                                                                          <a:chOff x="0" y="0"/>
                                                                          <a:chExt cx="698500" cy="698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8228" name="BC$F$1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698500" cy="698500"/>
                                                                            <a:chOff x="0" y="0"/>
                                                                            <a:chExt cx="698500" cy="698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8226" name="BC$F$1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698500" cy="698500"/>
                                                                              <a:chOff x="0" y="0"/>
                                                                              <a:chExt cx="698500" cy="698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8224" name="BC$F$1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698500" cy="698500"/>
                                                                                <a:chOff x="0" y="0"/>
                                                                                <a:chExt cx="698500" cy="698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8222" name="BC$F$1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698500" cy="698500"/>
                                                                                  <a:chOff x="0" y="0"/>
                                                                                  <a:chExt cx="698500" cy="698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8220" name="BC$F$1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698500" cy="698500"/>
                                                                                    <a:chOff x="0" y="0"/>
                                                                                    <a:chExt cx="698500" cy="698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8218" name="BC$F$1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698500" cy="698500"/>
                                                                                      <a:chOff x="0" y="0"/>
                                                                                      <a:chExt cx="698500" cy="698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8216" name="BC$F$1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698500" cy="698500"/>
                                                                                        <a:chOff x="0" y="0"/>
                                                                                        <a:chExt cx="698500" cy="698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8214" name="BC$F$1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698500" cy="698500"/>
                                                                                          <a:chOff x="0" y="0"/>
                                                                                          <a:chExt cx="698500" cy="698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8212" name="BC$F$1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698500" cy="698500"/>
                                                                                            <a:chOff x="0" y="0"/>
                                                                                            <a:chExt cx="698500" cy="698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8210" name="BC$F$1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698500" cy="698500"/>
                                                                                              <a:chOff x="0" y="0"/>
                                                                                              <a:chExt cx="698500" cy="698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8208" name="BC$F$1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698500" cy="698500"/>
                                                                                                <a:chOff x="0" y="0"/>
                                                                                                <a:chExt cx="698500" cy="698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8206" name="BC$F$1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698500" cy="698500"/>
                                                                                                  <a:chOff x="0" y="0"/>
                                                                                                  <a:chExt cx="698500" cy="698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8204" name="BC$F$1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698500" cy="698500"/>
                                                                                                    <a:chOff x="0" y="0"/>
                                                                                                    <a:chExt cx="698500" cy="698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8202" name="BC$F$1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698500" cy="698500"/>
                                                                                                      <a:chOff x="0" y="0"/>
                                                                                                      <a:chExt cx="698500" cy="698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8200" name="BC$F$1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698500" cy="698500"/>
                                                                                                        <a:chOff x="0" y="0"/>
                                                                                                        <a:chExt cx="698500" cy="698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8198" name="BC$F$1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698500" cy="698500"/>
                                                                                                          <a:chOff x="0" y="0"/>
                                                                                                          <a:chExt cx="698500" cy="698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8196" name="BC$F$1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698500" cy="698500"/>
                                                                                                            <a:chOff x="0" y="0"/>
                                                                                                            <a:chExt cx="698500" cy="698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8194" name="BC$F$1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698500" cy="698500"/>
                                                                                                              <a:chOff x="0" y="0"/>
                                                                                                              <a:chExt cx="698500" cy="698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8192" name="BC$F$1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698500" cy="698500"/>
                                                                                                                <a:chOff x="0" y="0"/>
                                                                                                                <a:chExt cx="698500" cy="698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8190" name="BC$F$1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698500" cy="698500"/>
                                                                                                                  <a:chOff x="0" y="0"/>
                                                                                                                  <a:chExt cx="698500" cy="698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8188" name="BC$F$1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698500" cy="698500"/>
                                                                                                                    <a:chOff x="0" y="0"/>
                                                                                                                    <a:chExt cx="698500" cy="698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8186" name="BC$F$1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698500" cy="698500"/>
                                                                                                                      <a:chOff x="0" y="0"/>
                                                                                                                      <a:chExt cx="698500" cy="698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8184" name="BC$F$1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698500" cy="698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698500" cy="698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8182" name="BC$F$1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698500" cy="698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698500" cy="698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8180" name="BC$F$1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8178" name="BC$F$1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8176" name="BC$F$1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8174" name="BC$F$1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8172" name="BC$F$1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8170" name="BC$F$1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8168" name="BC$F$1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8166" name="BC$F$1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8164" name="BC$F$1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8162" name="BC$F$1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8160" name="BC$F$1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8158" name="BC$F$1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8156" name="BC$F$1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8154" name="BC$F$1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8152" name="BC$F$1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8150" name="BC$F$1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8148" name="BC$F$1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8146" name="BC$F$1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8144" name="BC$F$1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8142" name="BC$F$1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8140" name="BC$F$1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8138" name="BC$F$1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8136" name="BC$F$1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8134" name="BC$F$1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8132" name="BC$F$1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8130" name="BC$F$1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8128" name="BC$F$1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8126" name="BC$F$1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8124" name="BC$F$1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8122" name="BC$F$1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8120" name="BC$F$1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8118" name="BC$F$1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8116" name="BC$F$1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8114" name="BC$F$1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8112" name="BC$F$1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8110" name="BC$F$1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8108" name="BC$F$1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8106" name="BC$F$1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8104" name="BC$F$1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8102" name="BC$F$1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8100" name="BC$F$1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8098" name="BC$F$1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8096" name="BC$F$1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8094" name="BC$F$1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8092" name="BC$F$1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8090" name="BC$F$1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8088" name="BC$F$1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8086" name="BC$F$1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8084" name="BC$F$1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8082" name="BC$F$1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8080" name="BC$F$1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8078" name="BC$F$1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8076" name="BC$F$1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8074" name="BC$F$1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8072" name="BC$F$1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8070" name="BC$F$1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8068" name="BC$F$1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8066" name="BC$F$1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8064" name="BC$F$1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8062" name="BC$F$1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8060" name="BC$F$1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8058" name="BC$F$1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8056" name="BC$F$1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8054" name="BC$F$1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8052" name="BC$F$1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8050" name="BC$F$1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8048" name="BC$F$1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8046" name="BC$F$1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804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804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804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2" name="BC$F$1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3" name="BC$F$1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5" name="BC$F$1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7" name="BC$F$1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19" name="BC$F$1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1" name="BC$F$1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3" name="BC$F$1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5" name="BC$F$1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7" name="BC$F$1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29" name="BC$F$1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1" name="BC$F$1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3" name="BC$F$1#BR11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5" name="BC$F$1#BR12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7" name="BC$F$1#BR13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8039" name="BC$F$1#BR14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8041" name="BC$F$1#BR15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8043" name="BC$F$1#BR16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8045" name="BC$F$1#BR17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8047" name="BC$F$1#BR18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8049" name="BC$F$1#BR19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8051" name="BC$F$1#BR20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254000" y="9525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8053" name="BC$F$1#BR21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8055" name="BC$F$1#BR22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8057" name="BC$F$1#BR23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444500" y="63500"/>
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8059" name="BC$F$1#BR24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8061" name="BC$F$1#BR25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8063" name="BC$F$1#BR26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8065" name="BC$F$1#BR27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8067" name="BC$F$1#BR28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8069" name="BC$F$1#BR29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8071" name="BC$F$1#BR30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8073" name="BC$F$1#BR31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285750" y="127000"/>
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8075" name="BC$F$1#BR32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317500" y="127000"/>
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8077" name="BC$F$1#BR33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317500" y="158750"/>
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8079" name="BC$F$1#BR34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8081" name="BC$F$1#BR35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8083" name="BC$F$1#BR36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8085" name="BC$F$1#BR37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8087" name="BC$F$1#BR38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8089" name="BC$F$1#BR39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8091" name="BC$F$1#BR40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8093" name="BC$F$1#BR41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8095" name="BC$F$1#BR42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8097" name="BC$F$1#BR43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254000" y="222250"/>
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8099" name="BC$F$1#BR44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8101" name="BC$F$1#BR45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8103" name="BC$F$1#BR46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8105" name="BC$F$1#BR47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8107" name="BC$F$1#BR48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8109" name="BC$F$1#BR49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8111" name="BC$F$1#BR50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8113" name="BC$F$1#BR51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8115" name="BC$F$1#BR52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31750" y="28575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8117" name="BC$F$1#BR53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8119" name="BC$F$1#BR54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158750" y="25400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8121" name="BC$F$1#BR55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127000" y="285750"/>
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8123" name="BC$F$1#BR56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8125" name="BC$F$1#BR57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222250" y="28575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8127" name="BC$F$1#BR58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285750" y="28575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8129" name="BC$F$1#BR59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8131" name="BC$F$1#BR60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8133" name="BC$F$1#BR61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444500" y="2540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8135" name="BC$F$1#BR62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476250" y="285750"/>
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8137" name="BC$F$1#BR63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539750" y="254000"/>
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8139" name="BC$F$1#BR64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8141" name="BC$F$1#BR65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571500" y="285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8143" name="BC$F$1#BR66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8145" name="BC$F$1#BR67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317500"/>
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8147" name="BC$F$1#BR68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8149" name="BC$F$1#BR69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63500" y="349250"/>
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8151" name="BC$F$1#BR70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8153" name="BC$F$1#BR71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127000" y="349250"/>
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8155" name="BC$F$1#BR72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8157" name="BC$F$1#BR73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254000" y="349250"/>
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8159" name="BC$F$1#BR74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317500" y="317500"/>
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8161" name="BC$F$1#BR75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412750" y="34925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8163" name="BC$F$1#BR76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8165" name="BC$F$1#BR77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539750" y="3175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8167" name="BC$F$1#BR78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8169" name="BC$F$1#BR79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/a:ln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8171" name="BC$F$1#BR80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0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/a:ln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8173" name="BC$F$1#BR81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0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</a:ln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8175" name="BC$F$1#BR82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31750" y="38100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0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</a:solidFill>
                                                                                                                                </a:ln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8177" name="BC$F$1#BR83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0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</a:solidFill>
                                                                                                                              </a:ln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ctr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8179" name="BC$F$1#BR84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127000" y="38100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0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tx1"/>
                                                                                                                              </a:solidFill>
                                                                                                                            </a:ln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ctr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8181" name="BC$F$1#BR85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190500" y="381000"/>
                                                                                                                            <a:ext cx="3175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0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tx1"/>
                                                                                                                            </a:solidFill>
                                                                                                                          </a:ln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ctr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8183" name="BC$F$1#BR86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254000" y="412750"/>
                                                                                                                          <a:ext cx="6350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0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tx1"/>
                                                                                                                          </a:solidFill>
                                                                                                                        </a:ln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rtlCol="0" anchor="ctr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ctr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8185" name="BC$F$1#BR87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317500" y="38100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0">
                                                                                                                        <a:solidFill>
                                                                                                                          <a:schemeClr val="tx1"/>
                                                                                                                        </a:solidFill>
                                                                                                                      </a:ln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rtlCol="0" anchor="ctr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ctr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8187" name="BC$F$1#BR88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317500" y="412750"/>
                                                                                                                      <a:ext cx="6350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0">
                                                                                                                      <a:solidFill>
                                                                                                                        <a:schemeClr val="tx1"/>
                                                                                                                      </a:solidFill>
                                                                                                                    </a:ln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rtlCol="0" anchor="ctr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ctr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8189" name="BC$F$1#BR89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381000" y="381000"/>
                                                                                                                    <a:ext cx="3175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0">
                                                                                                                    <a:solidFill>
                                                                                                                      <a:schemeClr val="tx1"/>
                                                                                                                    </a:solidFill>
                                                                                                                  </a:ln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rtlCol="0" anchor="ctr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ctr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8191" name="BC$F$1#BR90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476250" y="38100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0">
                                                                                                                  <a:solidFill>
                                                                                                                    <a:schemeClr val="tx1"/>
                                                                                                                  </a:solidFill>
                                                                                                                </a:ln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rtlCol="0" anchor="ctr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ctr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8193" name="BC$F$1#BR91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444500" y="4127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0">
                                                                                                                <a:solidFill>
                                                                                                                  <a:schemeClr val="tx1"/>
                                                                                                                </a:solidFill>
                                                                                                              </a:ln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rtlCol="0" anchor="ctr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ctr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8195" name="BC$F$1#BR92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539750" y="381000"/>
                                                                                                              <a:ext cx="31750" cy="3175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0">
                                                                                                              <a:solidFill>
                                                                                                                <a:schemeClr val="tx1"/>
                                                                                                              </a:solidFill>
                                                                                                            </a:ln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rtlCol="0" anchor="ctr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ctr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8197" name="BC$F$1#BR93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571500" y="412750"/>
                                                                                                            <a:ext cx="3175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0">
                                                                                                            <a:solidFill>
                                                                                                              <a:schemeClr val="tx1"/>
                                                                                                            </a:solidFill>
                                                                                                          </a:ln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rtlCol="0" anchor="ctr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ctr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8199" name="BC$F$1#BR94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635000" y="381000"/>
                                                                                                          <a:ext cx="3175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0">
                                                                                                          <a:solidFill>
                                                                                                            <a:schemeClr val="tx1"/>
                                                                                                          </a:solidFill>
                                                                                                        </a:ln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rtlCol="0" anchor="ctr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ctr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8201" name="BC$F$1#BR95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0" y="444500"/>
                                                                                                        <a:ext cx="6350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0">
                                                                                                        <a:solidFill>
                                                                                                          <a:schemeClr val="tx1"/>
                                                                                                        </a:solidFill>
                                                                                                      </a:ln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rtlCol="0" anchor="ctr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ctr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8203" name="BC$F$1#BR96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0" y="476250"/>
                                                                                                      <a:ext cx="3175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0">
                                                                                                      <a:solidFill>
                                                                                                        <a:schemeClr val="tx1"/>
                                                                                                      </a:solidFill>
                                                                                                    </a:ln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rtlCol="0" anchor="ctr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ctr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8205" name="BC$F$1#BR97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63500" y="444500"/>
                                                                                                    <a:ext cx="63500" cy="3175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0">
                                                                                                    <a:solidFill>
                                                                                                      <a:schemeClr val="tx1"/>
                                                                                                    </a:solidFill>
                                                                                                  </a:ln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rtlCol="0" anchor="ctr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ctr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8207" name="BC$F$1#BR98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127000" y="444500"/>
                                                                                                  <a:ext cx="6350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0">
                                                                                                  <a:solidFill>
                                                                                                    <a:schemeClr val="tx1"/>
                                                                                                  </a:solidFill>
                                                                                                </a:ln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rtlCol="0" anchor="ctr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ctr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8209" name="BC$F$1#BR99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190500" y="444500"/>
                                                                                                <a:ext cx="31750" cy="6350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0">
                                                                                                <a:solidFill>
                                                                                                  <a:schemeClr val="tx1"/>
                                                                                                </a:solidFill>
                                                                                              </a:ln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rtlCol="0" anchor="ctr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ctr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8211" name="BC$F$1#BR100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254000" y="44450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0">
                                                                                              <a:solidFill>
                                                                                                <a:schemeClr val="tx1"/>
                                                                                              </a:solidFill>
                                                                                            </a:ln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rtlCol="0" anchor="ctr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ctr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8213" name="BC$F$1#BR101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254000" y="476250"/>
                                                                                            <a:ext cx="6350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0">
                                                                                            <a:solidFill>
                                                                                              <a:schemeClr val="tx1"/>
                                                                                            </a:solidFill>
                                                                                          </a:ln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rtlCol="0" anchor="ctr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ctr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8215" name="BC$F$1#BR102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17500" y="444500"/>
                                                                                          <a:ext cx="31750" cy="6350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0">
                                                                                          <a:solidFill>
                                                                                            <a:schemeClr val="tx1"/>
                                                                                          </a:solidFill>
                                                                                        </a:ln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rtlCol="0" anchor="ctr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ctr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8217" name="BC$F$1#BR103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412750" y="44450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0">
                                                                                        <a:solidFill>
                                                                                          <a:schemeClr val="tx1"/>
                                                                                        </a:solidFill>
                                                                                      </a:ln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rtlCol="0" anchor="ctr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ctr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8219" name="BC$F$1#BR104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381000" y="4762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0">
                                                                                      <a:solidFill>
                                                                                        <a:schemeClr val="tx1"/>
                                                                                      </a:solidFill>
                                                                                    </a:ln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rtlCol="0" anchor="ctr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ctr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8221" name="BC$F$1#BR105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476250" y="4762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0">
                                                                                    <a:solidFill>
                                                                                      <a:schemeClr val="tx1"/>
                                                                                    </a:solidFill>
                                                                                  </a:ln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rtlCol="0" anchor="ctr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ctr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8223" name="BC$F$1#BR106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508000" y="444500"/>
                                                                                  <a:ext cx="6350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0">
                                                                                  <a:solidFill>
                                                                                    <a:schemeClr val="tx1"/>
                                                                                  </a:solidFill>
                                                                                </a:ln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rtlCol="0" anchor="ctr"/>
                                                                                <a:lstStyle/>
                                                                                <a:p>
                                                                                  <a:pPr algn="ctr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8225" name="BC$F$1#BR107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03250" y="4445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0">
                                                                                <a:solidFill>
                                                                                  <a:schemeClr val="tx1"/>
                                                                                </a:solidFill>
                                                                              </a:ln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rtlCol="0" anchor="ctr"/>
                                                                              <a:lstStyle/>
                                                                              <a:p>
                                                                                <a:pPr algn="ctr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8227" name="BC$F$1#BR108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0" y="5080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0">
                                                                              <a:solidFill>
                                                                                <a:schemeClr val="tx1"/>
                                                                              </a:solidFill>
                                                                            </a:ln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rtlCol="0" anchor="ctr"/>
                                                                            <a:lstStyle/>
                                                                            <a:p>
                                                                              <a:pPr algn="ctr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8229" name="BC$F$1#BR109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508000"/>
                                                                            <a:ext cx="6350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0">
                                                                            <a:solidFill>
                                                                              <a:schemeClr val="tx1"/>
                                                                            </a:solidFill>
                                                                          </a:ln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rtlCol="0" anchor="ctr"/>
                                                                          <a:lstStyle/>
                                                                          <a:p>
                                                                            <a:pPr algn="ctr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8231" name="BC$F$1#BR110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27000" y="5080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0">
                                                                          <a:solidFill>
                                                                            <a:schemeClr val="tx1"/>
                                                                          </a:solidFill>
                                                                        </a:ln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rtlCol="0" anchor="ctr"/>
                                                                        <a:lstStyle/>
                                                                        <a:p>
                                                                          <a:pPr algn="ctr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8233" name="BC$F$1#BR111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508000"/>
                                                                        <a:ext cx="31750" cy="6350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0">
                                                                        <a:solidFill>
                                                                          <a:schemeClr val="tx1"/>
                                                                        </a:solidFill>
                                                                      </a:ln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rtlCol="0" anchor="ctr"/>
                                                                      <a:lstStyle/>
                                                                      <a:p>
                                                                        <a:pPr algn="ctr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8235" name="BC$F$1#BR112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53975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0">
                                                                      <a:solidFill>
                                                                        <a:schemeClr val="tx1"/>
                                                                      </a:solidFill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8237" name="BC$F$1#BR113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50800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0">
                                                                    <a:solidFill>
                                                                      <a:schemeClr val="tx1"/>
                                                                    </a:solidFill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rtlCol="0" anchor="ctr"/>
                                                                  <a:lstStyle/>
                                                                  <a:p>
                                                                    <a:pPr algn="ctr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8239" name="BC$F$1#BR114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539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0">
                                                                  <a:solidFill>
                                                                    <a:schemeClr val="tx1"/>
                                                                  </a:solidFill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8241" name="BC$F$1#BR115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2750" y="539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0">
                                                                <a:solidFill>
                                                                  <a:schemeClr val="tx1"/>
                                                                </a:solidFill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rtlCol="0" anchor="ctr"/>
                                                              <a:lstStyle/>
                                                              <a:p>
                                                                <a:pPr algn="ctr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8243" name="BC$F$1#BR116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44500" y="508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0">
                                                              <a:solidFill>
                                                                <a:schemeClr val="tx1"/>
                                                              </a:solidFill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rtlCol="0" anchor="ctr"/>
                                                            <a:lstStyle/>
                                                            <a:p>
                                                              <a:pPr algn="ctr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8245" name="BC$F$1#BR117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539750" y="508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0">
                                                            <a:solidFill>
                                                              <a:schemeClr val="tx1"/>
                                                            </a:solidFill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rtlCol="0" anchor="ctr"/>
                                                          <a:lstStyle/>
                                                          <a:p>
                                                            <a:pPr algn="ctr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8247" name="BC$F$1#BR118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508000" y="539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0">
                                                          <a:solidFill>
                                                            <a:schemeClr val="tx1"/>
                                                          </a:solidFill>
                                                        </a:ln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rtlCol="0" anchor="ctr"/>
                                                        <a:lstStyle/>
                                                        <a:p>
                                                          <a:pPr algn="ctr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8249" name="BC$F$1#BR119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603250" y="539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0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rtlCol="0" anchor="ctr"/>
                                                      <a:lstStyle/>
                                                      <a:p>
                                                        <a:pPr algn="ctr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8251" name="BC$F$1#BR120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35000" y="508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0">
                                                      <a:solidFill>
                                                        <a:schemeClr val="tx1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rtlCol="0" anchor="ctr"/>
                                                    <a:lstStyle/>
                                                    <a:p>
                                                      <a:pPr algn="ctr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8253" name="BC$F$1#BR121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5715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0">
                                                    <a:solidFill>
                                                      <a:schemeClr val="tx1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rtlCol="0" anchor="ctr"/>
                                                  <a:lstStyle/>
                                                  <a:p>
                                                    <a:pPr algn="ctr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8255" name="BC$F$1#BR122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63500" y="57150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0">
                                                  <a:solidFill>
                                                    <a:schemeClr val="tx1"/>
                                                  </a:solidFill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rtlCol="0" anchor="ctr"/>
                                                <a:lstStyle/>
                                                <a:p>
                                                  <a:pPr algn="ctr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8257" name="BC$F$1#BR123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571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0">
                                                <a:solidFill>
                                                  <a:schemeClr val="tx1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rtlCol="0" anchor="ctr"/>
                                              <a:lstStyle/>
                                              <a:p>
                                                <a:pPr algn="ctr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8259" name="BC$F$1#BR124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90500" y="571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0">
                                              <a:solidFill>
                                                <a:schemeClr val="tx1"/>
                                              </a:solidFill>
                                            </a:ln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rtlCol="0" anchor="ctr"/>
                                            <a:lstStyle/>
                                            <a:p>
                                              <a:pPr algn="ctr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8261" name="BC$F$1#BR125"/>
                                          <xdr:cNvSpPr/>
                                        </xdr:nvSpPr>
                                        <xdr:spPr>
                                          <a:xfrm>
                                            <a:off x="254000" y="57150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0">
                                            <a:solidFill>
                                              <a:schemeClr val="tx1"/>
                                            </a:solidFill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rtlCol="0" anchor="ctr"/>
                                          <a:lstStyle/>
                                          <a:p>
                                            <a:pPr algn="ctr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8263" name="BC$F$1#BR126"/>
                                        <xdr:cNvSpPr/>
                                      </xdr:nvSpPr>
                                      <xdr:spPr>
                                        <a:xfrm>
                                          <a:off x="317500" y="571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0">
                                          <a:solidFill>
                                            <a:schemeClr val="tx1"/>
                                          </a:solidFill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rtlCol="0" anchor="ctr"/>
                                        <a:lstStyle/>
                                        <a:p>
                                          <a:pPr algn="ctr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8265" name="BC$F$1#BR127"/>
                                      <xdr:cNvSpPr/>
                                    </xdr:nvSpPr>
                                    <xdr:spPr>
                                      <a:xfrm>
                                        <a:off x="317500" y="603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0">
                                        <a:solidFill>
                                          <a:schemeClr val="tx1"/>
                                        </a:solidFill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rtlCol="0" anchor="ctr"/>
                                      <a:lstStyle/>
                                      <a:p>
                                        <a:pPr algn="ctr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8267" name="BC$F$1#BR128"/>
                                    <xdr:cNvSpPr/>
                                  </xdr:nvSpPr>
                                  <xdr:spPr>
                                    <a:xfrm>
                                      <a:off x="381000" y="571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0">
                                      <a:solidFill>
                                        <a:schemeClr val="tx1"/>
                                      </a:solidFill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rtlCol="0" anchor="ctr"/>
                                    <a:lstStyle/>
                                    <a:p>
                                      <a:pPr algn="ctr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8269" name="BC$F$1#BR129"/>
                                  <xdr:cNvSpPr/>
                                </xdr:nvSpPr>
                                <xdr:spPr>
                                  <a:xfrm>
                                    <a:off x="476250" y="571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0"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rtlCol="0" anchor="ctr"/>
                                  <a:lstStyle/>
                                  <a:p>
                                    <a:pPr algn="ctr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8271" name="BC$F$1#BR130"/>
                                <xdr:cNvSpPr/>
                              </xdr:nvSpPr>
                              <xdr:spPr>
                                <a:xfrm>
                                  <a:off x="444500" y="6032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0">
                                  <a:solidFill>
                                    <a:schemeClr val="tx1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rtlCol="0" anchor="ctr"/>
                                <a:lstStyle/>
                                <a:p>
                                  <a:pPr algn="ctr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273" name="BC$F$1#BR131"/>
                              <xdr:cNvSpPr/>
                            </xdr:nvSpPr>
                            <xdr:spPr>
                              <a:xfrm>
                                <a:off x="539750" y="6032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0">
                                <a:solidFill>
                                  <a:schemeClr val="tx1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rtlCol="0" anchor="ctr"/>
                              <a:lstStyle/>
                              <a:p>
                                <a:pPr algn="ctr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8275" name="BC$F$1#BR132"/>
                            <xdr:cNvSpPr/>
                          </xdr:nvSpPr>
                          <xdr:spPr>
                            <a:xfrm>
                              <a:off x="571500" y="5715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tlCol="0" anchor="ctr"/>
                            <a:lstStyle/>
                            <a:p>
                              <a:pPr algn="ctr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8277" name="BC$F$1#BR133"/>
                          <xdr:cNvSpPr/>
                        </xdr:nvSpPr>
                        <xdr:spPr>
                          <a:xfrm>
                            <a:off x="0" y="635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tlCol="0" anchor="ctr"/>
                          <a:lstStyle/>
                          <a:p>
                            <a:pPr algn="ctr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8279" name="BC$F$1#BR134"/>
                        <xdr:cNvSpPr/>
                      </xdr:nvSpPr>
                      <xdr:spPr>
                        <a:xfrm>
                          <a:off x="63500" y="635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tlCol="0" anchor="ctr"/>
                        <a:lstStyle/>
                        <a:p>
                          <a:pPr algn="ctr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8281" name="BC$F$1#BR135"/>
                      <xdr:cNvSpPr/>
                    </xdr:nvSpPr>
                    <xdr:spPr>
                      <a:xfrm>
                        <a:off x="127000" y="635000"/>
                        <a:ext cx="6350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0"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tlCol="0" anchor="ctr"/>
                      <a:lstStyle/>
                      <a:p>
                        <a:pPr algn="ctr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8283" name="BC$F$1#BR136"/>
                    <xdr:cNvSpPr/>
                  </xdr:nvSpPr>
                  <xdr:spPr>
                    <a:xfrm>
                      <a:off x="190500" y="635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tlCol="0" anchor="ctr"/>
                    <a:lstStyle/>
                    <a:p>
                      <a:pPr algn="ctr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8285" name="BC$F$1#BR137"/>
                  <xdr:cNvSpPr/>
                </xdr:nvSpPr>
                <xdr:spPr>
                  <a:xfrm>
                    <a:off x="254000" y="635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tlCol="0" anchor="ctr"/>
                  <a:lstStyle/>
                  <a:p>
                    <a:pPr algn="ctr"/>
                    <a:endParaRPr lang="en-US" sz="1100"/>
                  </a:p>
                </xdr:txBody>
              </xdr:sp>
            </xdr:grpSp>
            <xdr:sp macro="" textlink="">
              <xdr:nvSpPr>
                <xdr:cNvPr id="8287" name="BC$F$1#BR138"/>
                <xdr:cNvSpPr/>
              </xdr:nvSpPr>
              <xdr:spPr>
                <a:xfrm>
                  <a:off x="317500" y="635000"/>
                  <a:ext cx="31750" cy="31750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8289" name="BC$F$1#BR139"/>
              <xdr:cNvSpPr/>
            </xdr:nvSpPr>
            <xdr:spPr>
              <a:xfrm>
                <a:off x="412750" y="635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8291" name="BC$F$1#BR140"/>
            <xdr:cNvSpPr/>
          </xdr:nvSpPr>
          <xdr:spPr>
            <a:xfrm>
              <a:off x="508000" y="635000"/>
              <a:ext cx="31750" cy="31750"/>
            </a:xfrm>
            <a:prstGeom prst="rect">
              <a:avLst/>
            </a:prstGeom>
            <a:solidFill>
              <a:srgbClr val="000000"/>
            </a:solidFill>
            <a:ln w="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8293" name="BC$F$1#BR141"/>
          <xdr:cNvSpPr/>
        </xdr:nvSpPr>
        <xdr:spPr>
          <a:xfrm>
            <a:off x="603250" y="635000"/>
            <a:ext cx="31750" cy="31750"/>
          </a:xfrm>
          <a:prstGeom prst="rect">
            <a:avLst/>
          </a:prstGeom>
          <a:solidFill>
            <a:srgbClr val="000000"/>
          </a:solidFill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XXX@gmail.com" TargetMode="External"/><Relationship Id="rId1" Type="http://schemas.openxmlformats.org/officeDocument/2006/relationships/hyperlink" Target="mailto:XXX@gmail.com" TargetMode="Externa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Z86"/>
  <sheetViews>
    <sheetView tabSelected="1" topLeftCell="Q1" workbookViewId="0">
      <selection activeCell="U8" sqref="U8"/>
    </sheetView>
  </sheetViews>
  <sheetFormatPr defaultRowHeight="15"/>
  <cols>
    <col min="2" max="2" width="26.85546875" customWidth="1"/>
    <col min="3" max="4" width="19.7109375" customWidth="1"/>
    <col min="5" max="5" width="23.28515625" customWidth="1"/>
    <col min="6" max="6" width="19.7109375" customWidth="1"/>
    <col min="7" max="8" width="23.85546875" customWidth="1"/>
    <col min="9" max="9" width="24.5703125" customWidth="1"/>
    <col min="10" max="10" width="14.140625" customWidth="1"/>
    <col min="11" max="11" width="12" customWidth="1"/>
    <col min="12" max="12" width="15.42578125" customWidth="1"/>
    <col min="13" max="13" width="13.5703125" customWidth="1"/>
    <col min="14" max="14" width="15.28515625" style="28" customWidth="1"/>
    <col min="15" max="15" width="16.85546875" customWidth="1"/>
    <col min="16" max="16" width="21.5703125" customWidth="1"/>
    <col min="17" max="17" width="17.7109375" customWidth="1"/>
    <col min="18" max="18" width="22.140625" customWidth="1"/>
    <col min="19" max="19" width="22.5703125" customWidth="1"/>
    <col min="20" max="20" width="31.85546875" customWidth="1"/>
    <col min="21" max="21" width="18" style="44" bestFit="1" customWidth="1"/>
    <col min="25" max="25" width="19.28515625" customWidth="1"/>
  </cols>
  <sheetData>
    <row r="1" spans="1:26" ht="15.75" thickBot="1">
      <c r="Y1" t="s">
        <v>59</v>
      </c>
      <c r="Z1" t="s">
        <v>16</v>
      </c>
    </row>
    <row r="2" spans="1:26" ht="15.75" thickBot="1">
      <c r="B2" s="24" t="s">
        <v>26</v>
      </c>
      <c r="Y2" t="s">
        <v>41</v>
      </c>
      <c r="Z2" t="s">
        <v>58</v>
      </c>
    </row>
    <row r="3" spans="1:26">
      <c r="B3" s="4"/>
      <c r="C3" s="28"/>
      <c r="Y3" t="s">
        <v>42</v>
      </c>
    </row>
    <row r="4" spans="1:26">
      <c r="B4" s="4"/>
      <c r="C4" t="s">
        <v>8</v>
      </c>
      <c r="D4" t="s">
        <v>45</v>
      </c>
    </row>
    <row r="6" spans="1:26">
      <c r="B6" s="45" t="s">
        <v>9</v>
      </c>
      <c r="C6" s="45" t="s">
        <v>14</v>
      </c>
      <c r="D6" s="45" t="s">
        <v>25</v>
      </c>
      <c r="E6" s="45" t="s">
        <v>28</v>
      </c>
      <c r="F6" s="45" t="s">
        <v>17</v>
      </c>
      <c r="G6" s="45" t="s">
        <v>33</v>
      </c>
      <c r="H6" s="45" t="s">
        <v>34</v>
      </c>
      <c r="I6" s="45" t="s">
        <v>36</v>
      </c>
      <c r="J6" s="6" t="s">
        <v>35</v>
      </c>
      <c r="K6" s="6" t="s">
        <v>10</v>
      </c>
      <c r="L6" s="45" t="s">
        <v>11</v>
      </c>
      <c r="M6" s="45" t="s">
        <v>12</v>
      </c>
      <c r="N6" s="45" t="s">
        <v>19</v>
      </c>
      <c r="O6" s="45" t="s">
        <v>20</v>
      </c>
      <c r="P6" s="45" t="s">
        <v>0</v>
      </c>
      <c r="Q6" s="45" t="s">
        <v>13</v>
      </c>
      <c r="R6" s="45" t="s">
        <v>40</v>
      </c>
      <c r="S6" s="45" t="s">
        <v>38</v>
      </c>
      <c r="T6" s="45" t="s">
        <v>39</v>
      </c>
      <c r="U6" s="45" t="s">
        <v>43</v>
      </c>
    </row>
    <row r="7" spans="1:26">
      <c r="A7" s="46" t="s">
        <v>7</v>
      </c>
      <c r="B7" s="28" t="s">
        <v>47</v>
      </c>
      <c r="C7" s="28" t="s">
        <v>15</v>
      </c>
      <c r="D7" s="28" t="s">
        <v>50</v>
      </c>
      <c r="E7" s="35" t="s">
        <v>46</v>
      </c>
      <c r="F7" s="28" t="s">
        <v>18</v>
      </c>
      <c r="G7" s="28" t="s">
        <v>48</v>
      </c>
      <c r="H7" s="28" t="s">
        <v>37</v>
      </c>
      <c r="I7" s="28">
        <v>2000</v>
      </c>
      <c r="J7">
        <v>3</v>
      </c>
      <c r="K7" s="28">
        <f>(I7*J7)</f>
        <v>6000</v>
      </c>
      <c r="L7" s="28">
        <v>5</v>
      </c>
      <c r="M7" s="28">
        <f>(K7*5)/100</f>
        <v>300</v>
      </c>
      <c r="N7" s="28">
        <v>5</v>
      </c>
      <c r="O7" s="28">
        <f>(K7-M7)*N7/100</f>
        <v>285</v>
      </c>
      <c r="P7" s="28">
        <f>IF(K7+O7-M7= 0,"",K7+O7-M7)</f>
        <v>5985</v>
      </c>
      <c r="Q7" s="28" t="s">
        <v>16</v>
      </c>
      <c r="R7" s="28" t="s">
        <v>41</v>
      </c>
      <c r="S7" s="28">
        <v>123</v>
      </c>
      <c r="T7" s="28" t="s">
        <v>24</v>
      </c>
      <c r="U7" s="44">
        <v>43366</v>
      </c>
    </row>
    <row r="8" spans="1:26">
      <c r="B8" s="28" t="s">
        <v>52</v>
      </c>
      <c r="C8" s="28" t="s">
        <v>53</v>
      </c>
      <c r="D8" s="28" t="s">
        <v>51</v>
      </c>
      <c r="E8" s="35" t="s">
        <v>46</v>
      </c>
      <c r="F8" s="28" t="s">
        <v>54</v>
      </c>
      <c r="G8" s="28" t="s">
        <v>55</v>
      </c>
      <c r="H8" s="28" t="s">
        <v>56</v>
      </c>
      <c r="I8" s="28">
        <v>3000</v>
      </c>
      <c r="J8">
        <v>4</v>
      </c>
      <c r="K8" s="28">
        <f>(I8*J8)</f>
        <v>12000</v>
      </c>
      <c r="L8" s="28">
        <v>2</v>
      </c>
      <c r="M8" s="28">
        <f>(K8*5)/100</f>
        <v>600</v>
      </c>
      <c r="N8" s="28">
        <v>5</v>
      </c>
      <c r="O8" s="28">
        <f>(K8-M8)*N8/100</f>
        <v>570</v>
      </c>
      <c r="P8" s="28">
        <f>IF(K8+O8-M8= 0,"",K8+O8-M8)</f>
        <v>11970</v>
      </c>
      <c r="Q8" s="28" t="s">
        <v>58</v>
      </c>
      <c r="R8" s="28" t="s">
        <v>41</v>
      </c>
      <c r="S8" s="28">
        <v>89</v>
      </c>
      <c r="T8" s="28" t="s">
        <v>57</v>
      </c>
      <c r="U8" s="44">
        <v>43393</v>
      </c>
    </row>
    <row r="9" spans="1:26">
      <c r="D9" s="28"/>
      <c r="E9" s="28"/>
      <c r="P9" t="str">
        <f t="shared" ref="P8:P71" si="0">IF(K9+O9-M9= 0,"",K9+O9-M9)</f>
        <v/>
      </c>
    </row>
    <row r="10" spans="1:26">
      <c r="E10" s="28"/>
      <c r="P10" t="str">
        <f t="shared" si="0"/>
        <v/>
      </c>
    </row>
    <row r="11" spans="1:26">
      <c r="P11" t="str">
        <f t="shared" si="0"/>
        <v/>
      </c>
    </row>
    <row r="12" spans="1:26">
      <c r="P12" t="str">
        <f t="shared" si="0"/>
        <v/>
      </c>
    </row>
    <row r="13" spans="1:26">
      <c r="P13" t="str">
        <f t="shared" si="0"/>
        <v/>
      </c>
    </row>
    <row r="14" spans="1:26">
      <c r="P14" t="str">
        <f t="shared" si="0"/>
        <v/>
      </c>
    </row>
    <row r="15" spans="1:26">
      <c r="P15" t="str">
        <f t="shared" si="0"/>
        <v/>
      </c>
    </row>
    <row r="16" spans="1:26">
      <c r="P16" t="str">
        <f t="shared" si="0"/>
        <v/>
      </c>
    </row>
    <row r="17" spans="16:16">
      <c r="P17" t="str">
        <f t="shared" si="0"/>
        <v/>
      </c>
    </row>
    <row r="18" spans="16:16">
      <c r="P18" t="str">
        <f t="shared" si="0"/>
        <v/>
      </c>
    </row>
    <row r="19" spans="16:16">
      <c r="P19" t="str">
        <f t="shared" si="0"/>
        <v/>
      </c>
    </row>
    <row r="20" spans="16:16">
      <c r="P20" t="str">
        <f t="shared" si="0"/>
        <v/>
      </c>
    </row>
    <row r="21" spans="16:16">
      <c r="P21" t="str">
        <f t="shared" si="0"/>
        <v/>
      </c>
    </row>
    <row r="22" spans="16:16">
      <c r="P22" t="str">
        <f t="shared" si="0"/>
        <v/>
      </c>
    </row>
    <row r="23" spans="16:16">
      <c r="P23" t="str">
        <f t="shared" si="0"/>
        <v/>
      </c>
    </row>
    <row r="24" spans="16:16">
      <c r="P24" t="str">
        <f t="shared" si="0"/>
        <v/>
      </c>
    </row>
    <row r="25" spans="16:16">
      <c r="P25" t="str">
        <f t="shared" si="0"/>
        <v/>
      </c>
    </row>
    <row r="26" spans="16:16">
      <c r="P26" t="str">
        <f t="shared" si="0"/>
        <v/>
      </c>
    </row>
    <row r="27" spans="16:16">
      <c r="P27" t="str">
        <f t="shared" si="0"/>
        <v/>
      </c>
    </row>
    <row r="28" spans="16:16">
      <c r="P28" t="str">
        <f t="shared" si="0"/>
        <v/>
      </c>
    </row>
    <row r="29" spans="16:16">
      <c r="P29" t="str">
        <f t="shared" si="0"/>
        <v/>
      </c>
    </row>
    <row r="30" spans="16:16">
      <c r="P30" t="str">
        <f t="shared" si="0"/>
        <v/>
      </c>
    </row>
    <row r="31" spans="16:16">
      <c r="P31" t="str">
        <f t="shared" si="0"/>
        <v/>
      </c>
    </row>
    <row r="32" spans="16:16">
      <c r="P32" t="str">
        <f t="shared" si="0"/>
        <v/>
      </c>
    </row>
    <row r="33" spans="16:16">
      <c r="P33" t="str">
        <f t="shared" si="0"/>
        <v/>
      </c>
    </row>
    <row r="34" spans="16:16">
      <c r="P34" t="str">
        <f t="shared" si="0"/>
        <v/>
      </c>
    </row>
    <row r="35" spans="16:16">
      <c r="P35" t="str">
        <f t="shared" si="0"/>
        <v/>
      </c>
    </row>
    <row r="36" spans="16:16">
      <c r="P36" t="str">
        <f t="shared" si="0"/>
        <v/>
      </c>
    </row>
    <row r="37" spans="16:16">
      <c r="P37" t="str">
        <f t="shared" si="0"/>
        <v/>
      </c>
    </row>
    <row r="38" spans="16:16">
      <c r="P38" t="str">
        <f t="shared" si="0"/>
        <v/>
      </c>
    </row>
    <row r="39" spans="16:16">
      <c r="P39" t="str">
        <f t="shared" si="0"/>
        <v/>
      </c>
    </row>
    <row r="40" spans="16:16">
      <c r="P40" t="str">
        <f t="shared" si="0"/>
        <v/>
      </c>
    </row>
    <row r="41" spans="16:16">
      <c r="P41" t="str">
        <f t="shared" si="0"/>
        <v/>
      </c>
    </row>
    <row r="42" spans="16:16">
      <c r="P42" t="str">
        <f t="shared" si="0"/>
        <v/>
      </c>
    </row>
    <row r="43" spans="16:16">
      <c r="P43" t="str">
        <f t="shared" si="0"/>
        <v/>
      </c>
    </row>
    <row r="44" spans="16:16">
      <c r="P44" t="str">
        <f t="shared" si="0"/>
        <v/>
      </c>
    </row>
    <row r="45" spans="16:16">
      <c r="P45" t="str">
        <f t="shared" si="0"/>
        <v/>
      </c>
    </row>
    <row r="46" spans="16:16">
      <c r="P46" t="str">
        <f t="shared" si="0"/>
        <v/>
      </c>
    </row>
    <row r="47" spans="16:16">
      <c r="P47" t="str">
        <f t="shared" si="0"/>
        <v/>
      </c>
    </row>
    <row r="48" spans="16:16">
      <c r="P48" t="str">
        <f t="shared" si="0"/>
        <v/>
      </c>
    </row>
    <row r="49" spans="16:16">
      <c r="P49" t="str">
        <f t="shared" si="0"/>
        <v/>
      </c>
    </row>
    <row r="50" spans="16:16">
      <c r="P50" t="str">
        <f t="shared" si="0"/>
        <v/>
      </c>
    </row>
    <row r="51" spans="16:16">
      <c r="P51" t="str">
        <f t="shared" si="0"/>
        <v/>
      </c>
    </row>
    <row r="52" spans="16:16">
      <c r="P52" t="str">
        <f t="shared" si="0"/>
        <v/>
      </c>
    </row>
    <row r="53" spans="16:16">
      <c r="P53" t="str">
        <f t="shared" si="0"/>
        <v/>
      </c>
    </row>
    <row r="54" spans="16:16">
      <c r="P54" t="str">
        <f t="shared" si="0"/>
        <v/>
      </c>
    </row>
    <row r="55" spans="16:16">
      <c r="P55" t="str">
        <f t="shared" si="0"/>
        <v/>
      </c>
    </row>
    <row r="56" spans="16:16">
      <c r="P56" t="str">
        <f t="shared" si="0"/>
        <v/>
      </c>
    </row>
    <row r="57" spans="16:16">
      <c r="P57" t="str">
        <f t="shared" si="0"/>
        <v/>
      </c>
    </row>
    <row r="58" spans="16:16">
      <c r="P58" t="str">
        <f t="shared" si="0"/>
        <v/>
      </c>
    </row>
    <row r="59" spans="16:16">
      <c r="P59" t="str">
        <f t="shared" si="0"/>
        <v/>
      </c>
    </row>
    <row r="60" spans="16:16">
      <c r="P60" t="str">
        <f t="shared" si="0"/>
        <v/>
      </c>
    </row>
    <row r="61" spans="16:16">
      <c r="P61" t="str">
        <f t="shared" si="0"/>
        <v/>
      </c>
    </row>
    <row r="62" spans="16:16">
      <c r="P62" t="str">
        <f t="shared" si="0"/>
        <v/>
      </c>
    </row>
    <row r="63" spans="16:16">
      <c r="P63" t="str">
        <f t="shared" si="0"/>
        <v/>
      </c>
    </row>
    <row r="64" spans="16:16">
      <c r="P64" t="str">
        <f t="shared" si="0"/>
        <v/>
      </c>
    </row>
    <row r="65" spans="16:16">
      <c r="P65" t="str">
        <f t="shared" si="0"/>
        <v/>
      </c>
    </row>
    <row r="66" spans="16:16">
      <c r="P66" t="str">
        <f t="shared" si="0"/>
        <v/>
      </c>
    </row>
    <row r="67" spans="16:16">
      <c r="P67" t="str">
        <f t="shared" si="0"/>
        <v/>
      </c>
    </row>
    <row r="68" spans="16:16">
      <c r="P68" t="str">
        <f t="shared" si="0"/>
        <v/>
      </c>
    </row>
    <row r="69" spans="16:16">
      <c r="P69" t="str">
        <f t="shared" si="0"/>
        <v/>
      </c>
    </row>
    <row r="70" spans="16:16">
      <c r="P70" t="str">
        <f t="shared" si="0"/>
        <v/>
      </c>
    </row>
    <row r="71" spans="16:16">
      <c r="P71" t="str">
        <f t="shared" si="0"/>
        <v/>
      </c>
    </row>
    <row r="72" spans="16:16">
      <c r="P72" t="str">
        <f t="shared" ref="P72:P86" si="1">IF(K72+O72-M72= 0,"",K72+O72-M72)</f>
        <v/>
      </c>
    </row>
    <row r="73" spans="16:16">
      <c r="P73" t="str">
        <f t="shared" si="1"/>
        <v/>
      </c>
    </row>
    <row r="74" spans="16:16">
      <c r="P74" t="str">
        <f t="shared" si="1"/>
        <v/>
      </c>
    </row>
    <row r="75" spans="16:16">
      <c r="P75" t="str">
        <f t="shared" si="1"/>
        <v/>
      </c>
    </row>
    <row r="76" spans="16:16">
      <c r="P76" t="str">
        <f t="shared" si="1"/>
        <v/>
      </c>
    </row>
    <row r="77" spans="16:16">
      <c r="P77" t="str">
        <f t="shared" si="1"/>
        <v/>
      </c>
    </row>
    <row r="78" spans="16:16">
      <c r="P78" t="str">
        <f t="shared" si="1"/>
        <v/>
      </c>
    </row>
    <row r="79" spans="16:16">
      <c r="P79" t="str">
        <f t="shared" si="1"/>
        <v/>
      </c>
    </row>
    <row r="80" spans="16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</sheetData>
  <autoFilter ref="A6:T8">
    <filterColumn colId="3"/>
    <filterColumn colId="4"/>
  </autoFilter>
  <dataValidations count="3">
    <dataValidation type="list" allowBlank="1" showInputMessage="1" showErrorMessage="1" sqref="Q7">
      <formula1>$Z$1:$Z$3</formula1>
    </dataValidation>
    <dataValidation type="list" allowBlank="1" showInputMessage="1" showErrorMessage="1" sqref="Q8:Q72">
      <formula1>$Z$1:$Z$2</formula1>
    </dataValidation>
    <dataValidation type="list" allowBlank="1" showInputMessage="1" showErrorMessage="1" sqref="R7:R42">
      <formula1>$Y$1:$Y$3</formula1>
    </dataValidation>
  </dataValidations>
  <hyperlinks>
    <hyperlink ref="E7" r:id="rId1"/>
    <hyperlink ref="E8" r:id="rId2"/>
  </hyperlinks>
  <pageMargins left="0.7" right="0.7" top="0.75" bottom="0.75" header="0.3" footer="0.3"/>
  <pageSetup orientation="portrait" r:id="rId3"/>
  <legacyDrawing r:id="rId4"/>
  <controls>
    <control shapeId="4100" r:id="rId5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34"/>
  <sheetViews>
    <sheetView workbookViewId="0">
      <selection activeCell="B16" sqref="B16"/>
    </sheetView>
  </sheetViews>
  <sheetFormatPr defaultRowHeight="15"/>
  <cols>
    <col min="1" max="1" width="19.42578125" customWidth="1"/>
    <col min="2" max="2" width="41.28515625" customWidth="1"/>
    <col min="4" max="4" width="21.28515625" style="7" customWidth="1"/>
    <col min="5" max="5" width="23.5703125" customWidth="1"/>
    <col min="6" max="6" width="20.5703125" customWidth="1"/>
    <col min="7" max="7" width="23" style="8" customWidth="1"/>
    <col min="9" max="9" width="6.5703125" customWidth="1"/>
    <col min="10" max="10" width="9.140625" hidden="1" customWidth="1"/>
    <col min="11" max="11" width="19.7109375" hidden="1" customWidth="1"/>
    <col min="12" max="15" width="9.140625" hidden="1" customWidth="1"/>
  </cols>
  <sheetData>
    <row r="1" spans="2:12" ht="79.5" customHeight="1" thickTop="1">
      <c r="D1" s="38" t="s">
        <v>44</v>
      </c>
      <c r="E1" s="25"/>
      <c r="F1" s="26" t="str">
        <f ca="1">EncodeBarcode(CELL("SHEET"),CELL("ADDRESS"),F2,51,1,0,2)</f>
        <v/>
      </c>
      <c r="G1" s="50" t="s">
        <v>60</v>
      </c>
      <c r="J1" s="3"/>
      <c r="K1" s="5"/>
      <c r="L1" s="1"/>
    </row>
    <row r="2" spans="2:12" ht="15.75" thickBot="1">
      <c r="E2" s="18"/>
      <c r="F2" s="18">
        <f>VLOOKUP(E6,Invoice_Data!B6:S1000,18,FALSE)</f>
        <v>123</v>
      </c>
      <c r="G2" s="39">
        <f ca="1">TODAY()</f>
        <v>43378</v>
      </c>
    </row>
    <row r="3" spans="2:12">
      <c r="D3" s="29" t="s">
        <v>2</v>
      </c>
      <c r="E3" s="32" t="s">
        <v>27</v>
      </c>
      <c r="F3" s="23"/>
      <c r="G3" s="40" t="s">
        <v>43</v>
      </c>
    </row>
    <row r="4" spans="2:12" ht="15.75" thickBot="1">
      <c r="E4" s="17"/>
      <c r="F4" s="12"/>
      <c r="G4" s="49">
        <f>VLOOKUP(E6,Invoice_Data!B6:U1000,20,FALSE)</f>
        <v>43366</v>
      </c>
    </row>
    <row r="5" spans="2:12" ht="15.75" thickBot="1"/>
    <row r="6" spans="2:12" ht="15.75" thickBot="1">
      <c r="B6" s="47" t="s">
        <v>49</v>
      </c>
      <c r="C6" s="4"/>
      <c r="D6" s="29" t="s">
        <v>1</v>
      </c>
      <c r="E6" s="15" t="s">
        <v>47</v>
      </c>
    </row>
    <row r="7" spans="2:12">
      <c r="C7" s="4"/>
    </row>
    <row r="8" spans="2:12" ht="15.75" thickBot="1">
      <c r="C8" s="4"/>
      <c r="F8" s="10"/>
    </row>
    <row r="9" spans="2:12">
      <c r="C9" s="4"/>
      <c r="D9" s="29" t="s">
        <v>3</v>
      </c>
      <c r="E9" s="32" t="str">
        <f>VLOOKUP(E6,Invoice_Data!B6:T1000,2,FALSE)</f>
        <v>M. K. Cook.</v>
      </c>
      <c r="F9" s="16" t="str">
        <f>VLOOKUP(E6,Invoice_Data!B6:T1000,3,FALSE)</f>
        <v>9nnnnnnnnn</v>
      </c>
    </row>
    <row r="10" spans="2:12">
      <c r="C10" s="4"/>
      <c r="D10" s="29"/>
      <c r="E10" s="34" t="str">
        <f>VLOOKUP(E6,Invoice_Data!B6:T1000,5,FALSE)</f>
        <v>32 ABC,Kol-52</v>
      </c>
      <c r="F10" s="48" t="str">
        <f>VLOOKUP(E6,Invoice_Data!B6:S1000,4,FALSE)</f>
        <v>XXX@gmail.com</v>
      </c>
      <c r="G10" s="8" t="s">
        <v>21</v>
      </c>
    </row>
    <row r="11" spans="2:12" ht="15.75" thickBot="1">
      <c r="C11" s="4"/>
      <c r="D11" s="29"/>
      <c r="E11" s="33"/>
      <c r="F11" s="31"/>
    </row>
    <row r="12" spans="2:12" ht="15.75" thickBot="1">
      <c r="C12" s="4"/>
    </row>
    <row r="13" spans="2:12" ht="15.75" thickBot="1">
      <c r="C13" s="4"/>
      <c r="D13" s="27" t="s">
        <v>22</v>
      </c>
      <c r="E13" s="30" t="str">
        <f>VLOOKUP(E6,Invoice_Data!B6:S1000,6,FALSE)</f>
        <v>XXX0001</v>
      </c>
    </row>
    <row r="14" spans="2:12" ht="15.75" thickBot="1">
      <c r="C14" s="4"/>
      <c r="D14" s="27" t="s">
        <v>23</v>
      </c>
      <c r="E14" s="30" t="str">
        <f>VLOOKUP(E6,Invoice_Data!B6:S1000,7,FALSE)</f>
        <v>Product867</v>
      </c>
    </row>
    <row r="15" spans="2:12">
      <c r="C15" s="4"/>
    </row>
    <row r="16" spans="2:12" ht="15.75" thickBot="1"/>
    <row r="17" spans="4:8" ht="15.75" thickBot="1">
      <c r="D17" s="41"/>
      <c r="E17" s="41"/>
      <c r="F17" s="27" t="s">
        <v>35</v>
      </c>
      <c r="G17" s="27" t="s">
        <v>4</v>
      </c>
    </row>
    <row r="18" spans="4:8">
      <c r="D18" s="42"/>
      <c r="E18" s="42"/>
      <c r="F18" s="7">
        <f>VLOOKUP(E6,Invoice_Data!B6:S1000,9,FALSE)</f>
        <v>3</v>
      </c>
      <c r="G18" s="8">
        <f>VLOOKUP(E6,Invoice_Data!B6:T1000,8,FALSE)</f>
        <v>2000</v>
      </c>
    </row>
    <row r="19" spans="4:8" ht="15.75" thickBot="1">
      <c r="D19" s="42"/>
      <c r="E19" s="43"/>
      <c r="F19" s="11"/>
    </row>
    <row r="20" spans="4:8" ht="15.75" thickBot="1"/>
    <row r="21" spans="4:8" ht="15.75" thickBot="1">
      <c r="F21" s="36" t="s">
        <v>30</v>
      </c>
      <c r="G21" s="20">
        <f>VLOOKUP(E6,Invoice_Data!B6:S10000,15,FALSE)</f>
        <v>5985</v>
      </c>
    </row>
    <row r="22" spans="4:8" ht="15.75" thickBot="1">
      <c r="E22" s="37">
        <f>VLOOKUP(E6,Invoice_Data!B6:T1000,13,FALSE)</f>
        <v>5</v>
      </c>
      <c r="F22" s="36" t="s">
        <v>29</v>
      </c>
      <c r="G22" s="22">
        <f>VLOOKUP(E6,Invoice_Data!B6:T1000,14,FALSE)</f>
        <v>285</v>
      </c>
    </row>
    <row r="23" spans="4:8" ht="15.75" thickBot="1">
      <c r="D23" s="19"/>
      <c r="E23" s="37">
        <f>VLOOKUP(E6,Invoice_Data!B6:T1000,11,FALSE)</f>
        <v>5</v>
      </c>
      <c r="F23" s="36" t="s">
        <v>31</v>
      </c>
      <c r="G23" s="22">
        <f>VLOOKUP(E6,Invoice_Data!B6:T1000,12,FALSE)</f>
        <v>300</v>
      </c>
    </row>
    <row r="24" spans="4:8" ht="15.75" thickBot="1">
      <c r="E24" s="21"/>
      <c r="F24" s="36" t="s">
        <v>5</v>
      </c>
      <c r="G24" s="22">
        <f>G21+G22-G23</f>
        <v>5970</v>
      </c>
    </row>
    <row r="25" spans="4:8">
      <c r="G25" s="14" t="str">
        <f>VLOOKUP(E6,Invoice_Data!B6:T1000,16,FALSE)</f>
        <v>Paid</v>
      </c>
    </row>
    <row r="27" spans="4:8">
      <c r="E27" s="10"/>
      <c r="H27" s="2"/>
    </row>
    <row r="28" spans="4:8">
      <c r="F28" s="1" t="s">
        <v>6</v>
      </c>
      <c r="G28" s="9"/>
    </row>
    <row r="32" spans="4:8" ht="15.75" thickBot="1">
      <c r="D32" s="11"/>
      <c r="E32" s="17"/>
      <c r="F32" s="12"/>
      <c r="G32" s="13"/>
    </row>
    <row r="33" spans="1:7">
      <c r="D33" s="10"/>
      <c r="E33" s="10"/>
      <c r="F33" s="10"/>
      <c r="G33" s="23"/>
    </row>
    <row r="34" spans="1:7">
      <c r="A34" t="s">
        <v>32</v>
      </c>
    </row>
  </sheetData>
  <conditionalFormatting sqref="G25">
    <cfRule type="containsText" dxfId="1" priority="1" operator="containsText" text="Paid">
      <formula>NOT(ISERROR(SEARCH("Paid",G25)))</formula>
    </cfRule>
    <cfRule type="containsText" dxfId="0" priority="2" operator="containsText" text="Due">
      <formula>NOT(ISERROR(SEARCH("Due",G25)))</formula>
    </cfRule>
  </conditionalFormatting>
  <dataValidations count="1">
    <dataValidation type="list" allowBlank="1" showInputMessage="1" showErrorMessage="1" errorTitle="Invalid Invoice ID" error="Invoice not found in the list" sqref="E6">
      <formula1>Invoice_Data!$B$7:$B$1000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5127" r:id="rId4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Invoice_Data</vt:lpstr>
      <vt:lpstr>Invoice_Template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2018-10-05T06:08:56Z</cp:lastPrinted>
  <dcterms:created xsi:type="dcterms:W3CDTF">2018-06-21T10:46:21Z</dcterms:created>
  <dcterms:modified xsi:type="dcterms:W3CDTF">2018-10-05T06:16:17Z</dcterms:modified>
</cp:coreProperties>
</file>