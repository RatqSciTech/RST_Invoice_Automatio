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11415" windowHeight="4635" activeTab="1"/>
  </bookViews>
  <sheets>
    <sheet name="Invoice_Data" sheetId="5" r:id="rId1"/>
    <sheet name="Invoice_Template" sheetId="2" r:id="rId2"/>
  </sheets>
  <functionGroups/>
  <definedNames>
    <definedName name="_xlnm._FilterDatabase" localSheetId="0" hidden="1">Invoice_Data!$A$6:$T$7</definedName>
    <definedName name="GG00000001_">#REF!</definedName>
  </definedNames>
  <calcPr calcId="124519"/>
</workbook>
</file>

<file path=xl/calcChain.xml><?xml version="1.0" encoding="utf-8"?>
<calcChain xmlns="http://schemas.openxmlformats.org/spreadsheetml/2006/main">
  <c r="B4" i="2"/>
  <c r="P89" i="5"/>
  <c r="O8"/>
  <c r="K8"/>
  <c r="E9" i="2"/>
  <c r="P88" i="5"/>
  <c r="P87"/>
  <c r="P86"/>
  <c r="G2" i="2"/>
  <c r="P10" i="5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K7"/>
  <c r="M7" s="1"/>
  <c r="O7" l="1"/>
  <c r="P7" s="1"/>
  <c r="F9" i="2"/>
  <c r="G23"/>
  <c r="G16"/>
  <c r="G20"/>
  <c r="E21"/>
  <c r="E16"/>
  <c r="F16"/>
  <c r="G4"/>
  <c r="E10"/>
  <c r="F10"/>
  <c r="E20"/>
  <c r="D16"/>
  <c r="F2"/>
  <c r="G19"/>
  <c r="F1"/>
  <c r="G21" l="1"/>
  <c r="G22" s="1"/>
</calcChain>
</file>

<file path=xl/sharedStrings.xml><?xml version="1.0" encoding="utf-8"?>
<sst xmlns="http://schemas.openxmlformats.org/spreadsheetml/2006/main" count="57" uniqueCount="53">
  <si>
    <t>Total</t>
  </si>
  <si>
    <t>INVOICE</t>
  </si>
  <si>
    <t>COMPANY ADDRESS</t>
  </si>
  <si>
    <t>BILL TO</t>
  </si>
  <si>
    <t>TOTAL</t>
  </si>
  <si>
    <t>SIGNATURE</t>
  </si>
  <si>
    <t>FIRST ID</t>
  </si>
  <si>
    <t>MAX ID</t>
  </si>
  <si>
    <t>Invoice ID</t>
  </si>
  <si>
    <t>Sub-Total</t>
  </si>
  <si>
    <t>Discount(%)</t>
  </si>
  <si>
    <t>Payment</t>
  </si>
  <si>
    <t>Cusomer Name</t>
  </si>
  <si>
    <t>Paid</t>
  </si>
  <si>
    <t>Cust Adress</t>
  </si>
  <si>
    <t>GST(%)</t>
  </si>
  <si>
    <t xml:space="preserve"> </t>
  </si>
  <si>
    <t>Mobile No</t>
  </si>
  <si>
    <t xml:space="preserve">Search Customer </t>
  </si>
  <si>
    <t>32,AB,CD,BIShop</t>
  </si>
  <si>
    <t>Email Adress</t>
  </si>
  <si>
    <t xml:space="preserve">SUBTOTAL </t>
  </si>
  <si>
    <t>% DISCOUNT</t>
  </si>
  <si>
    <t xml:space="preserve"> ©Ratq Science &amp; Tech</t>
  </si>
  <si>
    <t>Item ID</t>
  </si>
  <si>
    <t>Item Description</t>
  </si>
  <si>
    <t>Quantity</t>
  </si>
  <si>
    <t>Price ( ₹)/Item</t>
  </si>
  <si>
    <t>Manufacturer/Seller Code</t>
  </si>
  <si>
    <t>Manufacturer name</t>
  </si>
  <si>
    <t>Order Status</t>
  </si>
  <si>
    <t>Shipped</t>
  </si>
  <si>
    <t>Delivered</t>
  </si>
  <si>
    <t>Date of Order</t>
  </si>
  <si>
    <t>E:\RST\Projects\Invoice-system</t>
  </si>
  <si>
    <t>Due</t>
  </si>
  <si>
    <t>Order Confirmed</t>
  </si>
  <si>
    <t>Bill Generated</t>
  </si>
  <si>
    <t>% GST</t>
  </si>
  <si>
    <t>Payment Mode</t>
  </si>
  <si>
    <t>COD</t>
  </si>
  <si>
    <t>Credit Card</t>
  </si>
  <si>
    <t>Paytm</t>
  </si>
  <si>
    <t>Debit Card</t>
  </si>
  <si>
    <t>Netbanking</t>
  </si>
  <si>
    <t>ITEM ID</t>
  </si>
  <si>
    <t>DESCRIPTION</t>
  </si>
  <si>
    <t>PRICE/ITEM</t>
  </si>
  <si>
    <t>Discount(₹)</t>
  </si>
  <si>
    <t>GST(₹)</t>
  </si>
  <si>
    <t>₹</t>
  </si>
  <si>
    <t>XYZ99999999</t>
  </si>
  <si>
    <t>XYZ00000001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</si>
</sst>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mmmm\ d\ yyyy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/>
    <xf numFmtId="0" fontId="0" fillId="0" borderId="0" xfId="0" applyAlignment="1">
      <alignment horizontal="center" wrapText="1"/>
    </xf>
    <xf numFmtId="49" fontId="0" fillId="0" borderId="0" xfId="0" applyNumberFormat="1"/>
    <xf numFmtId="2" fontId="0" fillId="0" borderId="0" xfId="0" applyNumberFormat="1" applyAlignment="1">
      <alignment horizontal="center" wrapText="1"/>
    </xf>
    <xf numFmtId="0" fontId="0" fillId="2" borderId="0" xfId="0" applyFill="1"/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Continuous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4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/>
    <xf numFmtId="0" fontId="0" fillId="4" borderId="6" xfId="0" applyFill="1" applyBorder="1" applyAlignment="1">
      <alignment horizontal="center"/>
    </xf>
    <xf numFmtId="0" fontId="0" fillId="0" borderId="12" xfId="0" applyBorder="1"/>
    <xf numFmtId="0" fontId="0" fillId="5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4" xfId="0" applyBorder="1"/>
    <xf numFmtId="0" fontId="1" fillId="6" borderId="1" xfId="0" applyFont="1" applyFill="1" applyBorder="1" applyAlignment="1">
      <alignment horizontal="right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3" fillId="0" borderId="0" xfId="1" applyAlignment="1" applyProtection="1">
      <alignment horizontal="center"/>
    </xf>
    <xf numFmtId="0" fontId="0" fillId="4" borderId="13" xfId="0" applyFill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0" borderId="2" xfId="0" applyBorder="1" applyAlignment="1">
      <alignment wrapText="1"/>
    </xf>
    <xf numFmtId="164" fontId="0" fillId="4" borderId="4" xfId="0" applyNumberFormat="1" applyFill="1" applyBorder="1" applyAlignment="1">
      <alignment horizontal="center"/>
    </xf>
    <xf numFmtId="0" fontId="0" fillId="4" borderId="2" xfId="0" applyFill="1" applyBorder="1" applyAlignment="1">
      <alignment horizontal="right"/>
    </xf>
    <xf numFmtId="0" fontId="0" fillId="5" borderId="5" xfId="0" applyFill="1" applyBorder="1"/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/>
    <xf numFmtId="0" fontId="0" fillId="8" borderId="1" xfId="0" applyFill="1" applyBorder="1"/>
    <xf numFmtId="0" fontId="0" fillId="0" borderId="18" xfId="0" applyBorder="1" applyAlignment="1">
      <alignment horizontal="center" wrapText="1"/>
    </xf>
    <xf numFmtId="164" fontId="0" fillId="8" borderId="5" xfId="0" applyNumberFormat="1" applyFill="1" applyBorder="1"/>
    <xf numFmtId="0" fontId="4" fillId="4" borderId="17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right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0000"/>
      <color rgb="FFFF5050"/>
      <color rgb="FFCC3300"/>
      <color rgb="FFFF3300"/>
      <color rgb="FFCC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371;1005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25</xdr:row>
      <xdr:rowOff>0</xdr:rowOff>
    </xdr:from>
    <xdr:to>
      <xdr:col>7</xdr:col>
      <xdr:colOff>9525</xdr:colOff>
      <xdr:row>25</xdr:row>
      <xdr:rowOff>1588</xdr:rowOff>
    </xdr:to>
    <xdr:cxnSp macro="">
      <xdr:nvCxnSpPr>
        <xdr:cNvPr id="7" name="Straight Connector 6"/>
        <xdr:cNvCxnSpPr/>
      </xdr:nvCxnSpPr>
      <xdr:spPr>
        <a:xfrm>
          <a:off x="7400925" y="6858000"/>
          <a:ext cx="1276350" cy="1588"/>
        </a:xfrm>
        <a:prstGeom prst="line">
          <a:avLst/>
        </a:prstGeom>
        <a:ln w="19050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1171575</xdr:colOff>
      <xdr:row>1</xdr:row>
      <xdr:rowOff>161925</xdr:rowOff>
    </xdr:to>
    <xdr:pic>
      <xdr:nvPicPr>
        <xdr:cNvPr id="4802" name="Picture 4801" descr="RST_logo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5" y="0"/>
          <a:ext cx="1171575" cy="1171575"/>
        </a:xfrm>
        <a:prstGeom prst="rect">
          <a:avLst/>
        </a:prstGeom>
      </xdr:spPr>
    </xdr:pic>
    <xdr:clientData/>
  </xdr:twoCellAnchor>
  <xdr:oneCellAnchor>
    <xdr:from>
      <xdr:col>0</xdr:col>
      <xdr:colOff>45974</xdr:colOff>
      <xdr:row>0</xdr:row>
      <xdr:rowOff>105314</xdr:rowOff>
    </xdr:from>
    <xdr:ext cx="1007263" cy="718530"/>
    <xdr:sp macro="" textlink="">
      <xdr:nvSpPr>
        <xdr:cNvPr id="1902" name="Rectangle 1901"/>
        <xdr:cNvSpPr/>
      </xdr:nvSpPr>
      <xdr:spPr>
        <a:xfrm>
          <a:off x="45974" y="105314"/>
          <a:ext cx="1007263" cy="71853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Search</a:t>
          </a:r>
        </a:p>
        <a:p>
          <a:pPr algn="ctr"/>
          <a:r>
            <a:rPr lang="en-US" sz="2000" b="1" cap="none" spc="0" baseline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</a:rPr>
            <a:t> Invoice</a:t>
          </a:r>
          <a:endParaRPr lang="en-US" sz="2000" b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oneCellAnchor>
  <xdr:twoCellAnchor>
    <xdr:from>
      <xdr:col>5</xdr:col>
      <xdr:colOff>9525</xdr:colOff>
      <xdr:row>0</xdr:row>
      <xdr:rowOff>95250</xdr:rowOff>
    </xdr:from>
    <xdr:to>
      <xdr:col>5</xdr:col>
      <xdr:colOff>1352550</xdr:colOff>
      <xdr:row>1</xdr:row>
      <xdr:rowOff>38100</xdr:rowOff>
    </xdr:to>
    <xdr:grpSp>
      <xdr:nvGrpSpPr>
        <xdr:cNvPr id="1395" name="BC$F$1#GR"/>
        <xdr:cNvGrpSpPr/>
      </xdr:nvGrpSpPr>
      <xdr:grpSpPr>
        <a:xfrm>
          <a:off x="7658100" y="95250"/>
          <a:ext cx="1343025" cy="952500"/>
          <a:chOff x="0" y="0"/>
          <a:chExt cx="698500" cy="698500"/>
        </a:xfrm>
      </xdr:grpSpPr>
      <xdr:grpSp>
        <xdr:nvGrpSpPr>
          <xdr:cNvPr id="1393" name="BC$F$1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1391" name="BC$F$1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1389" name="BC$F$1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1387" name="BC$F$1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1385" name="BC$F$1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1383" name="BC$F$1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1381" name="BC$F$1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1379" name="BC$F$1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1377" name="BC$F$1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1375" name="BC$F$1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1373" name="BC$F$1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1371" name="BC$F$1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1369" name="BC$F$1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1367" name="BC$F$1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1365" name="BC$F$1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1363" name="BC$F$1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1361" name="BC$F$1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359" name="BC$F$1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357" name="BC$F$1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355" name="BC$F$1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1353" name="BC$F$1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1351" name="BC$F$1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349" name="BC$F$1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1347" name="BC$F$1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1345" name="BC$F$1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1343" name="BC$F$1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1341" name="BC$F$1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339" name="BC$F$1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1337" name="BC$F$1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1335" name="BC$F$1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1333" name="BC$F$1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1331" name="BC$F$1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1329" name="BC$F$1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1327" name="BC$F$1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1325" name="BC$F$1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1323" name="BC$F$1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1321" name="BC$F$1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1319" name="BC$F$1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1317" name="BC$F$1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1315" name="BC$F$1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1313" name="BC$F$1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1311" name="BC$F$1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1309" name="BC$F$1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1307" name="BC$F$1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1305" name="BC$F$1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1303" name="BC$F$1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1301" name="BC$F$1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1299" name="BC$F$1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1297" name="BC$F$1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1295" name="BC$F$1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1293" name="BC$F$1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1291" name="BC$F$1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1289" name="BC$F$1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1287" name="BC$F$1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1285" name="BC$F$1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1283" name="BC$F$1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1281" name="BC$F$1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1279" name="BC$F$1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1277" name="BC$F$1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1275" name="BC$F$1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1273" name="BC$F$1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1271" name="BC$F$1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1269" name="BC$F$1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1267" name="BC$F$1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1265" name="BC$F$1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1263" name="BC$F$1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1261" name="BC$F$1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1259" name="BC$F$1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1257" name="BC$F$1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1255" name="BC$F$1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1253" name="BC$F$1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1251" name="BC$F$1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1249" name="BC$F$1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1247" name="BC$F$1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1245" name="BC$F$1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1243" name="BC$F$1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1241" name="BC$F$1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1239" name="BC$F$1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1237" name="BC$F$1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1235" name="BC$F$1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1233" name="BC$F$1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1231" name="BC$F$1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1229" name="BC$F$1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1227" name="BC$F$1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1225" name="BC$F$1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1223" name="BC$F$1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1221" name="BC$F$1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1219" name="BC$F$1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1217" name="BC$F$1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1215" name="BC$F$1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1213" name="BC$F$1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1211" name="BC$F$1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1209" name="BC$F$1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1207" name="BC$F$1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1205" name="BC$F$1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1203" name="BC$F$1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1201" name="BC$F$1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1199" name="BC$F$1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1197" name="BC$F$1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1195" name="BC$F$1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1193" name="BC$F$1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1191" name="BC$F$1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1189" name="BC$F$1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1187" name="BC$F$1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1185" name="BC$F$1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1183" name="BC$F$1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1181" name="BC$F$1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1179" name="BC$F$1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1177" name="BC$F$1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1175" name="BC$F$1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1173" name="BC$F$1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1171" name="BC$F$1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1169" name="BC$F$1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1167" name="BC$F$1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1165" name="BC$F$1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1163" name="BC$F$1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1161" name="BC$F$1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1159" name="BC$F$1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1157" name="BC$F$1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1155" name="BC$F$1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1153" name="BC$F$1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1151" name="BC$F$1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1149" name="BC$F$1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1147" name="BC$F$1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45" name="BC$F$1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43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1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9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7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5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3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1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29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27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25" name="BC$F$1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26" name="BC$F$1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28" name="BC$F$1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0" name="BC$F$1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2" name="BC$F$1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4" name="BC$F$1#BR5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6" name="BC$F$1#BR6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38" name="BC$F$1#BR7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0" name="BC$F$1#BR8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1142" name="BC$F$1#BR9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1144" name="BC$F$1#BR10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1146" name="BC$F$1#BR11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1148" name="BC$F$1#BR12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1150" name="BC$F$1#BR13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1152" name="BC$F$1#BR14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1154" name="BC$F$1#BR15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1156" name="BC$F$1#BR16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1158" name="BC$F$1#BR17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1160" name="BC$F$1#BR18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1162" name="BC$F$1#BR19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1164" name="BC$F$1#BR20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349250" y="63500"/>
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1166" name="BC$F$1#BR21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1168" name="BC$F$1#BR22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1170" name="BC$F$1#BR23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1172" name="BC$F$1#BR24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1174" name="BC$F$1#BR25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1176" name="BC$F$1#BR26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1178" name="BC$F$1#BR27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1180" name="BC$F$1#BR28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1182" name="BC$F$1#BR29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1184" name="BC$F$1#BR30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1186" name="BC$F$1#BR31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349250" y="127000"/>
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1188" name="BC$F$1#BR32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1190" name="BC$F$1#BR33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1192" name="BC$F$1#BR34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1194" name="BC$F$1#BR35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1196" name="BC$F$1#BR36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1198" name="BC$F$1#BR37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1200" name="BC$F$1#BR38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1202" name="BC$F$1#BR39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1204" name="BC$F$1#BR40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1206" name="BC$F$1#BR41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1208" name="BC$F$1#BR42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1210" name="BC$F$1#BR43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1212" name="BC$F$1#BR44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1214" name="BC$F$1#BR45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1216" name="BC$F$1#BR46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1218" name="BC$F$1#BR47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1220" name="BC$F$1#BR48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1222" name="BC$F$1#BR49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31750" y="285750"/>
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1224" name="BC$F$1#BR50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1226" name="BC$F$1#BR51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1228" name="BC$F$1#BR52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1230" name="BC$F$1#BR53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285750" y="254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1232" name="BC$F$1#BR54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1234" name="BC$F$1#BR55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444500" y="254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1236" name="BC$F$1#BR56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1238" name="BC$F$1#BR57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539750" y="254000"/>
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1240" name="BC$F$1#BR58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1242" name="BC$F$1#BR59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571500" y="285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1244" name="BC$F$1#BR60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1246" name="BC$F$1#BR61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1248" name="BC$F$1#BR62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1250" name="BC$F$1#BR63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1252" name="BC$F$1#BR64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1254" name="BC$F$1#BR65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222250" y="349250"/>
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1256" name="BC$F$1#BR66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254000" y="34925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1258" name="BC$F$1#BR67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349250" y="317500"/>
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1260" name="BC$F$1#BR68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1262" name="BC$F$1#BR69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1264" name="BC$F$1#BR70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539750" y="3175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1266" name="BC$F$1#BR71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1268" name="BC$F$1#BR72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1270" name="BC$F$1#BR73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/a:ln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1272" name="BC$F$1#BR74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0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/a:ln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1274" name="BC$F$1#BR75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31750" y="3810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0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</a:ln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1276" name="BC$F$1#BR76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95250" y="38100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0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</a:solidFill>
                                                                                                                                </a:ln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1278" name="BC$F$1#BR77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158750" y="381000"/>
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0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</a:solidFill>
                                                                                                                              </a:ln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ctr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1280" name="BC$F$1#BR78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0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tx1"/>
                                                                                                                              </a:solidFill>
                                                                                                                            </a:ln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ctr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1282" name="BC$F$1#BR79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254000" y="381000"/>
                                                                                                                            <a:ext cx="63500" cy="6350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0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tx1"/>
                                                                                                                            </a:solidFill>
                                                                                                                          </a:ln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ctr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1284" name="BC$F$1#BR80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349250" y="412750"/>
                                                                                                                          <a:ext cx="3175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0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tx1"/>
                                                                                                                          </a:solidFill>
                                                                                                                        </a:ln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rtlCol="0" anchor="ctr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ctr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1286" name="BC$F$1#BR81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381000" y="381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0">
                                                                                                                        <a:solidFill>
                                                                                                                          <a:schemeClr val="tx1"/>
                                                                                                                        </a:solidFill>
                                                                                                                      </a:ln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rtlCol="0" anchor="ctr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ctr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1288" name="BC$F$1#BR82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476250" y="381000"/>
                                                                                                                      <a:ext cx="3175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0">
                                                                                                                      <a:solidFill>
                                                                                                                        <a:schemeClr val="tx1"/>
                                                                                                                      </a:solidFill>
                                                                                                                    </a:ln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rtlCol="0" anchor="ctr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ctr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1290" name="BC$F$1#BR83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444500" y="41275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0">
                                                                                                                    <a:solidFill>
                                                                                                                      <a:schemeClr val="tx1"/>
                                                                                                                    </a:solidFill>
                                                                                                                  </a:ln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rtlCol="0" anchor="ctr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ctr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1292" name="BC$F$1#BR84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539750" y="41275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0">
                                                                                                                  <a:solidFill>
                                                                                                                    <a:schemeClr val="tx1"/>
                                                                                                                  </a:solidFill>
                                                                                                                </a:ln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rtlCol="0" anchor="ctr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ctr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1294" name="BC$F$1#BR85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571500" y="38100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0">
                                                                                                                <a:solidFill>
                                                                                                                  <a:schemeClr val="tx1"/>
                                                                                                                </a:solidFill>
                                                                                                              </a:ln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rtlCol="0" anchor="ctr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ctr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1296" name="BC$F$1#BR86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635000" y="381000"/>
                                                                                                              <a:ext cx="31750" cy="6350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0">
                                                                                                              <a:solidFill>
                                                                                                                <a:schemeClr val="tx1"/>
                                                                                                              </a:solidFill>
                                                                                                            </a:ln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rtlCol="0" anchor="ctr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ctr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1298" name="BC$F$1#BR87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0" y="444500"/>
                                                                                                            <a:ext cx="6350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0">
                                                                                                            <a:solidFill>
                                                                                                              <a:schemeClr val="tx1"/>
                                                                                                            </a:solidFill>
                                                                                                          </a:ln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rtlCol="0" anchor="ctr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ctr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1300" name="BC$F$1#BR88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0" y="476250"/>
                                                                                                          <a:ext cx="31750" cy="3175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0">
                                                                                                          <a:solidFill>
                                                                                                            <a:schemeClr val="tx1"/>
                                                                                                          </a:solidFill>
                                                                                                        </a:ln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rtlCol="0" anchor="ctr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ctr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1302" name="BC$F$1#BR89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63500" y="44450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0">
                                                                                                        <a:solidFill>
                                                                                                          <a:schemeClr val="tx1"/>
                                                                                                        </a:solidFill>
                                                                                                      </a:ln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rtlCol="0" anchor="ctr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ctr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1304" name="BC$F$1#BR90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127000" y="444500"/>
                                                                                                      <a:ext cx="6350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0">
                                                                                                      <a:solidFill>
                                                                                                        <a:schemeClr val="tx1"/>
                                                                                                      </a:solidFill>
                                                                                                    </a:ln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rtlCol="0" anchor="ctr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ctr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1306" name="BC$F$1#BR91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190500" y="444500"/>
                                                                                                    <a:ext cx="31750" cy="6350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0">
                                                                                                    <a:solidFill>
                                                                                                      <a:schemeClr val="tx1"/>
                                                                                                    </a:solidFill>
                                                                                                  </a:ln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rtlCol="0" anchor="ctr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ctr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1308" name="BC$F$1#BR92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254000" y="4445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0">
                                                                                                  <a:solidFill>
                                                                                                    <a:schemeClr val="tx1"/>
                                                                                                  </a:solidFill>
                                                                                                </a:ln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rtlCol="0" anchor="ctr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ctr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1310" name="BC$F$1#BR93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254000" y="476250"/>
                                                                                                <a:ext cx="31750" cy="3175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0">
                                                                                                <a:solidFill>
                                                                                                  <a:schemeClr val="tx1"/>
                                                                                                </a:solidFill>
                                                                                              </a:ln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rtlCol="0" anchor="ctr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ctr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1312" name="BC$F$1#BR94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317500" y="47625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0">
                                                                                              <a:solidFill>
                                                                                                <a:schemeClr val="tx1"/>
                                                                                              </a:solidFill>
                                                                                            </a:ln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rtlCol="0" anchor="ctr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ctr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1314" name="BC$F$1#BR95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412750" y="444500"/>
                                                                                            <a:ext cx="3175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0">
                                                                                            <a:solidFill>
                                                                                              <a:schemeClr val="tx1"/>
                                                                                            </a:solidFill>
                                                                                          </a:ln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rtlCol="0" anchor="ctr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ctr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1316" name="BC$F$1#BR96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81000" y="47625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0">
                                                                                          <a:solidFill>
                                                                                            <a:schemeClr val="tx1"/>
                                                                                          </a:solidFill>
                                                                                        </a:ln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rtlCol="0" anchor="ctr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ctr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1318" name="BC$F$1#BR97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476250" y="47625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0">
                                                                                        <a:solidFill>
                                                                                          <a:schemeClr val="tx1"/>
                                                                                        </a:solidFill>
                                                                                      </a:ln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rtlCol="0" anchor="ctr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ctr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1320" name="BC$F$1#BR98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508000" y="44450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0">
                                                                                      <a:solidFill>
                                                                                        <a:schemeClr val="tx1"/>
                                                                                      </a:solidFill>
                                                                                    </a:ln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rtlCol="0" anchor="ctr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ctr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1322" name="BC$F$1#BR99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603250" y="44450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0">
                                                                                    <a:solidFill>
                                                                                      <a:schemeClr val="tx1"/>
                                                                                    </a:solidFill>
                                                                                  </a:ln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rtlCol="0" anchor="ctr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ctr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1324" name="BC$F$1#BR100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71500" y="4762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0">
                                                                                  <a:solidFill>
                                                                                    <a:schemeClr val="tx1"/>
                                                                                  </a:solidFill>
                                                                                </a:ln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rtlCol="0" anchor="ctr"/>
                                                                                <a:lstStyle/>
                                                                                <a:p>
                                                                                  <a:pPr algn="ctr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1326" name="BC$F$1#BR101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0" y="508000"/>
                                                                                <a:ext cx="31750" cy="6350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0">
                                                                                <a:solidFill>
                                                                                  <a:schemeClr val="tx1"/>
                                                                                </a:solidFill>
                                                                              </a:ln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rtlCol="0" anchor="ctr"/>
                                                                              <a:lstStyle/>
                                                                              <a:p>
                                                                                <a:pPr algn="ctr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1328" name="BC$F$1#BR102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63500" y="508000"/>
                                                                              <a:ext cx="6350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0">
                                                                              <a:solidFill>
                                                                                <a:schemeClr val="tx1"/>
                                                                              </a:solidFill>
                                                                            </a:ln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rtlCol="0" anchor="ctr"/>
                                                                            <a:lstStyle/>
                                                                            <a:p>
                                                                              <a:pPr algn="ctr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1330" name="BC$F$1#BR103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127000" y="508000"/>
                                                                            <a:ext cx="3175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0">
                                                                            <a:solidFill>
                                                                              <a:schemeClr val="tx1"/>
                                                                            </a:solidFill>
                                                                          </a:ln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rtlCol="0" anchor="ctr"/>
                                                                          <a:lstStyle/>
                                                                          <a:p>
                                                                            <a:pPr algn="ctr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1332" name="BC$F$1#BR104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90500" y="5080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0">
                                                                          <a:solidFill>
                                                                            <a:schemeClr val="tx1"/>
                                                                          </a:solidFill>
                                                                        </a:ln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rtlCol="0" anchor="ctr"/>
                                                                        <a:lstStyle/>
                                                                        <a:p>
                                                                          <a:pPr algn="ctr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1334" name="BC$F$1#BR105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285750" y="50800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0">
                                                                        <a:solidFill>
                                                                          <a:schemeClr val="tx1"/>
                                                                        </a:solidFill>
                                                                      </a:ln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rtlCol="0" anchor="ctr"/>
                                                                      <a:lstStyle/>
                                                                      <a:p>
                                                                        <a:pPr algn="ctr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1336" name="BC$F$1#BR106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53975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0">
                                                                      <a:solidFill>
                                                                        <a:schemeClr val="tx1"/>
                                                                      </a:solidFill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1338" name="BC$F$1#BR107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5080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0">
                                                                    <a:solidFill>
                                                                      <a:schemeClr val="tx1"/>
                                                                    </a:solidFill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rtlCol="0" anchor="ctr"/>
                                                                  <a:lstStyle/>
                                                                  <a:p>
                                                                    <a:pPr algn="ctr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1340" name="BC$F$1#BR108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539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0">
                                                                  <a:solidFill>
                                                                    <a:schemeClr val="tx1"/>
                                                                  </a:solidFill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1342" name="BC$F$1#BR109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2750" y="539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0">
                                                                <a:solidFill>
                                                                  <a:schemeClr val="tx1"/>
                                                                </a:solidFill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rtlCol="0" anchor="ctr"/>
                                                              <a:lstStyle/>
                                                              <a:p>
                                                                <a:pPr algn="ctr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1344" name="BC$F$1#BR110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44500" y="508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0">
                                                              <a:solidFill>
                                                                <a:schemeClr val="tx1"/>
                                                              </a:solidFill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rtlCol="0" anchor="ctr"/>
                                                            <a:lstStyle/>
                                                            <a:p>
                                                              <a:pPr algn="ctr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1346" name="BC$F$1#BR111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539750" y="508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0">
                                                            <a:solidFill>
                                                              <a:schemeClr val="tx1"/>
                                                            </a:solidFill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rtlCol="0" anchor="ctr"/>
                                                          <a:lstStyle/>
                                                          <a:p>
                                                            <a:pPr algn="ctr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1348" name="BC$F$1#BR112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508000" y="539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0">
                                                          <a:solidFill>
                                                            <a:schemeClr val="tx1"/>
                                                          </a:solidFill>
                                                        </a:ln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rtlCol="0" anchor="ctr"/>
                                                        <a:lstStyle/>
                                                        <a:p>
                                                          <a:pPr algn="ctr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1350" name="BC$F$1#BR113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03250" y="539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0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rtlCol="0" anchor="ctr"/>
                                                      <a:lstStyle/>
                                                      <a:p>
                                                        <a:pPr algn="ctr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352" name="BC$F$1#BR114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35000" y="508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0">
                                                      <a:solidFill>
                                                        <a:schemeClr val="tx1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rtlCol="0" anchor="ctr"/>
                                                    <a:lstStyle/>
                                                    <a:p>
                                                      <a:pPr algn="ctr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1354" name="BC$F$1#BR115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571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0">
                                                    <a:solidFill>
                                                      <a:schemeClr val="tx1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rtlCol="0" anchor="ctr"/>
                                                  <a:lstStyle/>
                                                  <a:p>
                                                    <a:pPr algn="ctr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356" name="BC$F$1#BR116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" y="571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0">
                                                  <a:solidFill>
                                                    <a:schemeClr val="tx1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rtlCol="0" anchor="ctr"/>
                                                <a:lstStyle/>
                                                <a:p>
                                                  <a:pPr algn="ctr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1358" name="BC$F$1#BR117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571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0">
                                                <a:solidFill>
                                                  <a:schemeClr val="tx1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rtlCol="0" anchor="ctr"/>
                                              <a:lstStyle/>
                                              <a:p>
                                                <a:pPr algn="ctr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1360" name="BC$F$1#BR118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571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0">
                                              <a:solidFill>
                                                <a:schemeClr val="tx1"/>
                                              </a:solidFill>
                                            </a:ln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rtlCol="0" anchor="ctr"/>
                                            <a:lstStyle/>
                                            <a:p>
                                              <a:pPr algn="ctr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1362" name="BC$F$1#BR119"/>
                                          <xdr:cNvSpPr/>
                                        </xdr:nvSpPr>
                                        <xdr:spPr>
                                          <a:xfrm>
                                            <a:off x="254000" y="571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0">
                                            <a:solidFill>
                                              <a:schemeClr val="tx1"/>
                                            </a:solidFill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rtlCol="0" anchor="ctr"/>
                                          <a:lstStyle/>
                                          <a:p>
                                            <a:pPr algn="ctr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1364" name="BC$F$1#BR120"/>
                                        <xdr:cNvSpPr/>
                                      </xdr:nvSpPr>
                                      <xdr:spPr>
                                        <a:xfrm>
                                          <a:off x="285750" y="603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0">
                                          <a:solidFill>
                                            <a:schemeClr val="tx1"/>
                                          </a:solidFill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rtlCol="0" anchor="ctr"/>
                                        <a:lstStyle/>
                                        <a:p>
                                          <a:pPr algn="ctr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1366" name="BC$F$1#BR121"/>
                                      <xdr:cNvSpPr/>
                                    </xdr:nvSpPr>
                                    <xdr:spPr>
                                      <a:xfrm>
                                        <a:off x="349250" y="603250"/>
                                        <a:ext cx="3175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0">
                                        <a:solidFill>
                                          <a:schemeClr val="tx1"/>
                                        </a:solidFill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rtlCol="0" anchor="ctr"/>
                                      <a:lstStyle/>
                                      <a:p>
                                        <a:pPr algn="ctr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1368" name="BC$F$1#BR122"/>
                                    <xdr:cNvSpPr/>
                                  </xdr:nvSpPr>
                                  <xdr:spPr>
                                    <a:xfrm>
                                      <a:off x="381000" y="571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0">
                                      <a:solidFill>
                                        <a:schemeClr val="tx1"/>
                                      </a:solidFill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rtlCol="0" anchor="ctr"/>
                                    <a:lstStyle/>
                                    <a:p>
                                      <a:pPr algn="ctr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1370" name="BC$F$1#BR123"/>
                                  <xdr:cNvSpPr/>
                                </xdr:nvSpPr>
                                <xdr:spPr>
                                  <a:xfrm>
                                    <a:off x="476250" y="571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0"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rtlCol="0" anchor="ctr"/>
                                  <a:lstStyle/>
                                  <a:p>
                                    <a:pPr algn="ctr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1372" name="BC$F$1#BR124"/>
                                <xdr:cNvSpPr/>
                              </xdr:nvSpPr>
                              <xdr:spPr>
                                <a:xfrm>
                                  <a:off x="444500" y="6032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0"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rtlCol="0" anchor="ctr"/>
                                <a:lstStyle/>
                                <a:p>
                                  <a:pPr algn="ctr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1374" name="BC$F$1#BR125"/>
                              <xdr:cNvSpPr/>
                            </xdr:nvSpPr>
                            <xdr:spPr>
                              <a:xfrm>
                                <a:off x="539750" y="6032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0">
                                <a:solidFill>
                                  <a:schemeClr val="tx1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rtlCol="0" anchor="ctr"/>
                              <a:lstStyle/>
                              <a:p>
                                <a:pPr algn="ctr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1376" name="BC$F$1#BR126"/>
                            <xdr:cNvSpPr/>
                          </xdr:nvSpPr>
                          <xdr:spPr>
                            <a:xfrm>
                              <a:off x="571500" y="5715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tlCol="0" anchor="ctr"/>
                            <a:lstStyle/>
                            <a:p>
                              <a:pPr algn="ctr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1378" name="BC$F$1#BR127"/>
                          <xdr:cNvSpPr/>
                        </xdr:nvSpPr>
                        <xdr:spPr>
                          <a:xfrm>
                            <a:off x="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tlCol="0" anchor="ctr"/>
                          <a:lstStyle/>
                          <a:p>
                            <a:pPr algn="ctr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1380" name="BC$F$1#BR128"/>
                        <xdr:cNvSpPr/>
                      </xdr:nvSpPr>
                      <xdr:spPr>
                        <a:xfrm>
                          <a:off x="63500" y="635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tlCol="0" anchor="ctr"/>
                        <a:lstStyle/>
                        <a:p>
                          <a:pPr algn="ctr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1382" name="BC$F$1#BR129"/>
                      <xdr:cNvSpPr/>
                    </xdr:nvSpPr>
                    <xdr:spPr>
                      <a:xfrm>
                        <a:off x="127000" y="635000"/>
                        <a:ext cx="6350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1384" name="BC$F$1#BR130"/>
                    <xdr:cNvSpPr/>
                  </xdr:nvSpPr>
                  <xdr:spPr>
                    <a:xfrm>
                      <a:off x="1905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tlCol="0" anchor="ctr"/>
                    <a:lstStyle/>
                    <a:p>
                      <a:pPr algn="ctr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1386" name="BC$F$1#BR131"/>
                  <xdr:cNvSpPr/>
                </xdr:nvSpPr>
                <xdr:spPr>
                  <a:xfrm>
                    <a:off x="254000" y="635000"/>
                    <a:ext cx="6350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tlCol="0" anchor="ctr"/>
                  <a:lstStyle/>
                  <a:p>
                    <a:pPr algn="ctr"/>
                    <a:endParaRPr lang="en-US" sz="1100"/>
                  </a:p>
                </xdr:txBody>
              </xdr:sp>
            </xdr:grpSp>
            <xdr:sp macro="" textlink="">
              <xdr:nvSpPr>
                <xdr:cNvPr id="1388" name="BC$F$1#BR132"/>
                <xdr:cNvSpPr/>
              </xdr:nvSpPr>
              <xdr:spPr>
                <a:xfrm>
                  <a:off x="317500" y="635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1390" name="BC$F$1#BR133"/>
              <xdr:cNvSpPr/>
            </xdr:nvSpPr>
            <xdr:spPr>
              <a:xfrm>
                <a:off x="412750" y="635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1392" name="BC$F$1#BR134"/>
            <xdr:cNvSpPr/>
          </xdr:nvSpPr>
          <xdr:spPr>
            <a:xfrm>
              <a:off x="50800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1394" name="BC$F$1#BR135"/>
          <xdr:cNvSpPr/>
        </xdr:nvSpPr>
        <xdr:spPr>
          <a:xfrm>
            <a:off x="603250" y="635000"/>
            <a:ext cx="31750" cy="31750"/>
          </a:xfrm>
          <a:prstGeom prst="rect">
            <a:avLst/>
          </a:prstGeom>
          <a:solidFill>
            <a:srgbClr val="000000"/>
          </a:solidFill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A89"/>
  <sheetViews>
    <sheetView workbookViewId="0">
      <selection activeCell="C7" sqref="C7"/>
    </sheetView>
  </sheetViews>
  <sheetFormatPr defaultRowHeight="15"/>
  <cols>
    <col min="2" max="2" width="26.85546875" customWidth="1"/>
    <col min="3" max="4" width="19.7109375" customWidth="1"/>
    <col min="5" max="5" width="23.28515625" customWidth="1"/>
    <col min="6" max="6" width="19.7109375" customWidth="1"/>
    <col min="7" max="8" width="23.85546875" customWidth="1"/>
    <col min="9" max="9" width="24.5703125" customWidth="1"/>
    <col min="10" max="10" width="14.140625" customWidth="1"/>
    <col min="11" max="11" width="12" customWidth="1"/>
    <col min="12" max="12" width="15.42578125" customWidth="1"/>
    <col min="13" max="13" width="13.5703125" customWidth="1"/>
    <col min="14" max="14" width="15.28515625" style="27" customWidth="1"/>
    <col min="15" max="15" width="16.85546875" customWidth="1"/>
    <col min="16" max="16" width="21.5703125" customWidth="1"/>
    <col min="17" max="17" width="17.7109375" customWidth="1"/>
    <col min="18" max="18" width="22.140625" customWidth="1"/>
    <col min="19" max="19" width="22.5703125" customWidth="1"/>
    <col min="20" max="20" width="31.85546875" customWidth="1"/>
    <col min="21" max="21" width="18" style="40" bestFit="1" customWidth="1"/>
    <col min="22" max="22" width="22.7109375" customWidth="1"/>
    <col min="25" max="25" width="19.28515625" customWidth="1"/>
    <col min="27" max="27" width="10.85546875" customWidth="1"/>
  </cols>
  <sheetData>
    <row r="1" spans="1:27" ht="15.75" thickBot="1">
      <c r="Y1" t="s">
        <v>36</v>
      </c>
      <c r="Z1" t="s">
        <v>13</v>
      </c>
      <c r="AA1" t="s">
        <v>40</v>
      </c>
    </row>
    <row r="2" spans="1:27" ht="15.75" thickBot="1">
      <c r="B2" s="23" t="s">
        <v>18</v>
      </c>
      <c r="Y2" t="s">
        <v>31</v>
      </c>
      <c r="Z2" t="s">
        <v>35</v>
      </c>
      <c r="AA2" t="s">
        <v>41</v>
      </c>
    </row>
    <row r="3" spans="1:27">
      <c r="B3" s="4"/>
      <c r="C3" s="27"/>
      <c r="Y3" t="s">
        <v>32</v>
      </c>
      <c r="AA3" t="s">
        <v>42</v>
      </c>
    </row>
    <row r="4" spans="1:27">
      <c r="B4" s="4"/>
      <c r="C4" t="s">
        <v>7</v>
      </c>
      <c r="D4" t="s">
        <v>51</v>
      </c>
      <c r="AA4" t="s">
        <v>43</v>
      </c>
    </row>
    <row r="5" spans="1:27">
      <c r="AA5" t="s">
        <v>44</v>
      </c>
    </row>
    <row r="6" spans="1:27">
      <c r="B6" s="41" t="s">
        <v>8</v>
      </c>
      <c r="C6" s="41" t="s">
        <v>12</v>
      </c>
      <c r="D6" s="41" t="s">
        <v>17</v>
      </c>
      <c r="E6" s="41" t="s">
        <v>20</v>
      </c>
      <c r="F6" s="41" t="s">
        <v>14</v>
      </c>
      <c r="G6" s="41" t="s">
        <v>24</v>
      </c>
      <c r="H6" s="41" t="s">
        <v>25</v>
      </c>
      <c r="I6" s="41" t="s">
        <v>27</v>
      </c>
      <c r="J6" s="6" t="s">
        <v>26</v>
      </c>
      <c r="K6" s="6" t="s">
        <v>9</v>
      </c>
      <c r="L6" s="41" t="s">
        <v>10</v>
      </c>
      <c r="M6" s="41" t="s">
        <v>48</v>
      </c>
      <c r="N6" s="41" t="s">
        <v>15</v>
      </c>
      <c r="O6" s="41" t="s">
        <v>49</v>
      </c>
      <c r="P6" s="41" t="s">
        <v>0</v>
      </c>
      <c r="Q6" s="41" t="s">
        <v>11</v>
      </c>
      <c r="R6" s="41" t="s">
        <v>30</v>
      </c>
      <c r="S6" s="41" t="s">
        <v>28</v>
      </c>
      <c r="T6" s="41" t="s">
        <v>29</v>
      </c>
      <c r="U6" s="41" t="s">
        <v>33</v>
      </c>
      <c r="V6" s="41" t="s">
        <v>39</v>
      </c>
    </row>
    <row r="7" spans="1:27">
      <c r="A7" s="42" t="s">
        <v>6</v>
      </c>
      <c r="B7" s="27" t="s">
        <v>52</v>
      </c>
      <c r="C7" s="27"/>
      <c r="D7" s="27"/>
      <c r="E7" s="33"/>
      <c r="F7" s="27"/>
      <c r="G7" s="27"/>
      <c r="H7" s="27"/>
      <c r="I7" s="27"/>
      <c r="J7" s="27">
        <v>3</v>
      </c>
      <c r="K7" s="27">
        <f>(I7*J7)</f>
        <v>0</v>
      </c>
      <c r="L7" s="27">
        <v>3</v>
      </c>
      <c r="M7" s="27">
        <f>(K7*L7)/100</f>
        <v>0</v>
      </c>
      <c r="N7" s="27">
        <v>5</v>
      </c>
      <c r="O7" s="27">
        <f>(K7-M7)*N7/100</f>
        <v>0</v>
      </c>
      <c r="P7" s="27" t="str">
        <f>IF(K7+O7-M7= 0,"",K7+O7-M7)</f>
        <v/>
      </c>
      <c r="Q7" s="27" t="s">
        <v>13</v>
      </c>
      <c r="R7" s="27"/>
      <c r="S7" s="27"/>
      <c r="T7" s="27"/>
      <c r="V7" s="27"/>
    </row>
    <row r="8" spans="1:27">
      <c r="B8" s="27"/>
      <c r="D8" s="27"/>
      <c r="E8" s="27"/>
      <c r="K8" s="27">
        <f>(I8*J8)</f>
        <v>0</v>
      </c>
      <c r="O8" s="27">
        <f>(K8-M8)*N8/100</f>
        <v>0</v>
      </c>
      <c r="P8" s="27"/>
      <c r="Q8" s="27"/>
      <c r="R8" s="27"/>
      <c r="V8" s="27"/>
    </row>
    <row r="9" spans="1:27">
      <c r="B9" s="27"/>
      <c r="E9" s="27"/>
      <c r="K9" s="27"/>
      <c r="O9" s="27"/>
      <c r="Q9" s="27"/>
      <c r="R9" s="27"/>
    </row>
    <row r="10" spans="1:27">
      <c r="P10" t="str">
        <f t="shared" ref="P10:P70" si="0">IF(K10+O10-M10= 0,"",K10+O10-M10)</f>
        <v/>
      </c>
      <c r="R10" s="27"/>
    </row>
    <row r="11" spans="1:27">
      <c r="P11" t="str">
        <f t="shared" si="0"/>
        <v/>
      </c>
      <c r="R11" s="27"/>
    </row>
    <row r="12" spans="1:27">
      <c r="P12" t="str">
        <f t="shared" si="0"/>
        <v/>
      </c>
    </row>
    <row r="13" spans="1:27">
      <c r="P13" t="str">
        <f t="shared" si="0"/>
        <v/>
      </c>
    </row>
    <row r="14" spans="1:27">
      <c r="P14" t="str">
        <f t="shared" si="0"/>
        <v/>
      </c>
    </row>
    <row r="15" spans="1:27">
      <c r="P15" t="str">
        <f t="shared" si="0"/>
        <v/>
      </c>
    </row>
    <row r="16" spans="1:27">
      <c r="P16" t="str">
        <f t="shared" si="0"/>
        <v/>
      </c>
    </row>
    <row r="17" spans="16:16">
      <c r="P17" t="str">
        <f t="shared" si="0"/>
        <v/>
      </c>
    </row>
    <row r="18" spans="16:16">
      <c r="P18" t="str">
        <f t="shared" si="0"/>
        <v/>
      </c>
    </row>
    <row r="19" spans="16:16">
      <c r="P19" t="str">
        <f t="shared" si="0"/>
        <v/>
      </c>
    </row>
    <row r="20" spans="16:16">
      <c r="P20" t="str">
        <f t="shared" si="0"/>
        <v/>
      </c>
    </row>
    <row r="21" spans="16:16">
      <c r="P21" t="str">
        <f t="shared" si="0"/>
        <v/>
      </c>
    </row>
    <row r="22" spans="16:16">
      <c r="P22" t="str">
        <f t="shared" si="0"/>
        <v/>
      </c>
    </row>
    <row r="23" spans="16:16">
      <c r="P23" t="str">
        <f t="shared" si="0"/>
        <v/>
      </c>
    </row>
    <row r="24" spans="16:16">
      <c r="P24" t="str">
        <f t="shared" si="0"/>
        <v/>
      </c>
    </row>
    <row r="25" spans="16:16">
      <c r="P25" t="str">
        <f t="shared" si="0"/>
        <v/>
      </c>
    </row>
    <row r="26" spans="16:16">
      <c r="P26" t="str">
        <f t="shared" si="0"/>
        <v/>
      </c>
    </row>
    <row r="27" spans="16:16">
      <c r="P27" t="str">
        <f t="shared" si="0"/>
        <v/>
      </c>
    </row>
    <row r="28" spans="16:16">
      <c r="P28" t="str">
        <f t="shared" si="0"/>
        <v/>
      </c>
    </row>
    <row r="29" spans="16:16">
      <c r="P29" t="str">
        <f t="shared" si="0"/>
        <v/>
      </c>
    </row>
    <row r="30" spans="16:16">
      <c r="P30" t="str">
        <f t="shared" si="0"/>
        <v/>
      </c>
    </row>
    <row r="31" spans="16:16">
      <c r="P31" t="str">
        <f t="shared" si="0"/>
        <v/>
      </c>
    </row>
    <row r="32" spans="16:16">
      <c r="P32" t="str">
        <f t="shared" si="0"/>
        <v/>
      </c>
    </row>
    <row r="33" spans="16:16">
      <c r="P33" t="str">
        <f t="shared" si="0"/>
        <v/>
      </c>
    </row>
    <row r="34" spans="16:16">
      <c r="P34" t="str">
        <f t="shared" si="0"/>
        <v/>
      </c>
    </row>
    <row r="35" spans="16:16">
      <c r="P35" t="str">
        <f t="shared" si="0"/>
        <v/>
      </c>
    </row>
    <row r="36" spans="16:16">
      <c r="P36" t="str">
        <f t="shared" si="0"/>
        <v/>
      </c>
    </row>
    <row r="37" spans="16:16">
      <c r="P37" t="str">
        <f t="shared" si="0"/>
        <v/>
      </c>
    </row>
    <row r="38" spans="16:16">
      <c r="P38" t="str">
        <f t="shared" si="0"/>
        <v/>
      </c>
    </row>
    <row r="39" spans="16:16">
      <c r="P39" t="str">
        <f t="shared" si="0"/>
        <v/>
      </c>
    </row>
    <row r="40" spans="16:16">
      <c r="P40" t="str">
        <f t="shared" si="0"/>
        <v/>
      </c>
    </row>
    <row r="41" spans="16:16">
      <c r="P41" t="str">
        <f t="shared" si="0"/>
        <v/>
      </c>
    </row>
    <row r="42" spans="16:16">
      <c r="P42" t="str">
        <f t="shared" si="0"/>
        <v/>
      </c>
    </row>
    <row r="43" spans="16:16">
      <c r="P43" t="str">
        <f t="shared" si="0"/>
        <v/>
      </c>
    </row>
    <row r="44" spans="16:16">
      <c r="P44" t="str">
        <f t="shared" si="0"/>
        <v/>
      </c>
    </row>
    <row r="45" spans="16:16">
      <c r="P45" t="str">
        <f t="shared" si="0"/>
        <v/>
      </c>
    </row>
    <row r="46" spans="16:16">
      <c r="P46" t="str">
        <f t="shared" si="0"/>
        <v/>
      </c>
    </row>
    <row r="47" spans="16:16">
      <c r="P47" t="str">
        <f t="shared" si="0"/>
        <v/>
      </c>
    </row>
    <row r="48" spans="16:16">
      <c r="P48" t="str">
        <f t="shared" si="0"/>
        <v/>
      </c>
    </row>
    <row r="49" spans="16:16">
      <c r="P49" t="str">
        <f t="shared" si="0"/>
        <v/>
      </c>
    </row>
    <row r="50" spans="16:16">
      <c r="P50" t="str">
        <f t="shared" si="0"/>
        <v/>
      </c>
    </row>
    <row r="51" spans="16:16">
      <c r="P51" t="str">
        <f t="shared" si="0"/>
        <v/>
      </c>
    </row>
    <row r="52" spans="16:16">
      <c r="P52" t="str">
        <f t="shared" si="0"/>
        <v/>
      </c>
    </row>
    <row r="53" spans="16:16">
      <c r="P53" t="str">
        <f t="shared" si="0"/>
        <v/>
      </c>
    </row>
    <row r="54" spans="16:16">
      <c r="P54" t="str">
        <f t="shared" si="0"/>
        <v/>
      </c>
    </row>
    <row r="55" spans="16:16">
      <c r="P55" t="str">
        <f t="shared" si="0"/>
        <v/>
      </c>
    </row>
    <row r="56" spans="16:16">
      <c r="P56" t="str">
        <f t="shared" si="0"/>
        <v/>
      </c>
    </row>
    <row r="57" spans="16:16">
      <c r="P57" t="str">
        <f t="shared" si="0"/>
        <v/>
      </c>
    </row>
    <row r="58" spans="16:16">
      <c r="P58" t="str">
        <f t="shared" si="0"/>
        <v/>
      </c>
    </row>
    <row r="59" spans="16:16">
      <c r="P59" t="str">
        <f t="shared" si="0"/>
        <v/>
      </c>
    </row>
    <row r="60" spans="16:16">
      <c r="P60" t="str">
        <f t="shared" si="0"/>
        <v/>
      </c>
    </row>
    <row r="61" spans="16:16">
      <c r="P61" t="str">
        <f t="shared" si="0"/>
        <v/>
      </c>
    </row>
    <row r="62" spans="16:16">
      <c r="P62" t="str">
        <f t="shared" si="0"/>
        <v/>
      </c>
    </row>
    <row r="63" spans="16:16">
      <c r="P63" t="str">
        <f t="shared" si="0"/>
        <v/>
      </c>
    </row>
    <row r="64" spans="16:16">
      <c r="P64" t="str">
        <f t="shared" si="0"/>
        <v/>
      </c>
    </row>
    <row r="65" spans="16:16">
      <c r="P65" t="str">
        <f t="shared" si="0"/>
        <v/>
      </c>
    </row>
    <row r="66" spans="16:16">
      <c r="P66" t="str">
        <f t="shared" si="0"/>
        <v/>
      </c>
    </row>
    <row r="67" spans="16:16">
      <c r="P67" t="str">
        <f t="shared" si="0"/>
        <v/>
      </c>
    </row>
    <row r="68" spans="16:16">
      <c r="P68" t="str">
        <f t="shared" si="0"/>
        <v/>
      </c>
    </row>
    <row r="69" spans="16:16">
      <c r="P69" t="str">
        <f t="shared" si="0"/>
        <v/>
      </c>
    </row>
    <row r="70" spans="16:16">
      <c r="P70" t="str">
        <f t="shared" si="0"/>
        <v/>
      </c>
    </row>
    <row r="71" spans="16:16">
      <c r="P71" t="str">
        <f t="shared" ref="P71:P89" si="1">IF(K71+O71-M71= 0,"",K71+O71-M71)</f>
        <v/>
      </c>
    </row>
    <row r="72" spans="16:16">
      <c r="P72" t="str">
        <f t="shared" si="1"/>
        <v/>
      </c>
    </row>
    <row r="73" spans="16:16">
      <c r="P73" t="str">
        <f t="shared" si="1"/>
        <v/>
      </c>
    </row>
    <row r="74" spans="16:16">
      <c r="P74" t="str">
        <f t="shared" si="1"/>
        <v/>
      </c>
    </row>
    <row r="75" spans="16:16">
      <c r="P75" t="str">
        <f t="shared" si="1"/>
        <v/>
      </c>
    </row>
    <row r="76" spans="16:16">
      <c r="P76" t="str">
        <f t="shared" si="1"/>
        <v/>
      </c>
    </row>
    <row r="77" spans="16:16">
      <c r="P77" t="str">
        <f t="shared" si="1"/>
        <v/>
      </c>
    </row>
    <row r="78" spans="16:16">
      <c r="P78" t="str">
        <f t="shared" si="1"/>
        <v/>
      </c>
    </row>
    <row r="79" spans="16:16">
      <c r="P79" t="str">
        <f t="shared" si="1"/>
        <v/>
      </c>
    </row>
    <row r="80" spans="16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</sheetData>
  <autoFilter ref="A6:T7">
    <filterColumn colId="3"/>
    <filterColumn colId="4"/>
  </autoFilter>
  <dataValidations count="4">
    <dataValidation type="list" allowBlank="1" showInputMessage="1" showErrorMessage="1" sqref="Q7">
      <formula1>$Z$1:$Z$3</formula1>
    </dataValidation>
    <dataValidation type="list" allowBlank="1" showInputMessage="1" showErrorMessage="1" sqref="Q8:Q71">
      <formula1>$Z$1:$Z$2</formula1>
    </dataValidation>
    <dataValidation type="list" allowBlank="1" showInputMessage="1" showErrorMessage="1" sqref="V7:V8">
      <formula1>$AA$1:$AA$5</formula1>
    </dataValidation>
    <dataValidation type="list" allowBlank="1" showInputMessage="1" showErrorMessage="1" sqref="R7:R5520">
      <formula1>$Y$1:$Y$3</formula1>
    </dataValidation>
  </dataValidations>
  <pageMargins left="0.7" right="0.7" top="0.75" bottom="0.75" header="0.3" footer="0.3"/>
  <pageSetup orientation="portrait" r:id="rId1"/>
  <legacyDrawing r:id="rId2"/>
  <controls>
    <control shapeId="4100" r:id="rId3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48"/>
  <sheetViews>
    <sheetView tabSelected="1" workbookViewId="0">
      <selection activeCell="I6" sqref="I6"/>
    </sheetView>
  </sheetViews>
  <sheetFormatPr defaultRowHeight="15"/>
  <cols>
    <col min="1" max="1" width="19.42578125" customWidth="1"/>
    <col min="2" max="2" width="41.28515625" customWidth="1"/>
    <col min="4" max="4" width="21.28515625" style="7" customWidth="1"/>
    <col min="5" max="5" width="23.5703125" customWidth="1"/>
    <col min="6" max="6" width="20.5703125" customWidth="1"/>
    <col min="7" max="7" width="23" style="8" customWidth="1"/>
    <col min="9" max="9" width="6.5703125" customWidth="1"/>
    <col min="10" max="10" width="9.140625" hidden="1" customWidth="1"/>
    <col min="11" max="11" width="19.7109375" hidden="1" customWidth="1"/>
    <col min="12" max="15" width="9.140625" hidden="1" customWidth="1"/>
  </cols>
  <sheetData>
    <row r="1" spans="1:12" ht="79.5" customHeight="1" thickTop="1">
      <c r="A1" s="42"/>
      <c r="D1" s="36"/>
      <c r="E1" s="24"/>
      <c r="F1" s="25" t="str">
        <f ca="1">EncodeBarcode(CELL("SHEET"),CELL("ADDRESS"),F2,51,1,0,2)</f>
        <v/>
      </c>
      <c r="G1" s="46" t="s">
        <v>37</v>
      </c>
      <c r="J1" s="3"/>
      <c r="K1" s="5"/>
      <c r="L1" s="1"/>
    </row>
    <row r="2" spans="1:12" ht="15.75" thickBot="1">
      <c r="E2" s="18"/>
      <c r="F2" s="18">
        <f>VLOOKUP(E6,Invoice_Data!B6:S999,18,FALSE)</f>
        <v>0</v>
      </c>
      <c r="G2" s="37">
        <f ca="1">TODAY()</f>
        <v>43385</v>
      </c>
    </row>
    <row r="3" spans="1:12">
      <c r="B3" s="4"/>
      <c r="C3" s="4"/>
      <c r="D3" s="28" t="s">
        <v>2</v>
      </c>
      <c r="E3" s="30" t="s">
        <v>19</v>
      </c>
      <c r="F3" s="22"/>
      <c r="G3" s="38" t="s">
        <v>33</v>
      </c>
    </row>
    <row r="4" spans="1:12" ht="15.75" thickBot="1">
      <c r="B4" s="52" t="str">
        <f>IF(ISNUMBER(MATCH(E6,Invoice_Data!B7:B1048576,0)),"","SELECTED INVOICE NOT FOUND")</f>
        <v/>
      </c>
      <c r="C4" s="4"/>
      <c r="E4" s="17"/>
      <c r="F4" s="12"/>
      <c r="G4" s="45">
        <f>VLOOKUP(E6,Invoice_Data!B6:U999,20,FALSE)</f>
        <v>0</v>
      </c>
    </row>
    <row r="5" spans="1:12" ht="15.75" thickBot="1">
      <c r="B5" s="4"/>
      <c r="C5" s="4"/>
    </row>
    <row r="6" spans="1:12" ht="15.75" thickBot="1">
      <c r="B6" s="43" t="s">
        <v>34</v>
      </c>
      <c r="C6" s="4"/>
      <c r="D6" s="28" t="s">
        <v>1</v>
      </c>
      <c r="E6" s="15" t="s">
        <v>52</v>
      </c>
    </row>
    <row r="7" spans="1:12">
      <c r="C7" s="4"/>
    </row>
    <row r="8" spans="1:12" ht="15.75" thickBot="1">
      <c r="C8" s="4"/>
      <c r="F8" s="10"/>
    </row>
    <row r="9" spans="1:12">
      <c r="C9" s="4"/>
      <c r="D9" s="28" t="s">
        <v>3</v>
      </c>
      <c r="E9" s="30">
        <f>VLOOKUP(E6,Invoice_Data!B6:T999,2,FALSE)</f>
        <v>0</v>
      </c>
      <c r="F9" s="16">
        <f>VLOOKUP(E6,Invoice_Data!B6:T999,3,FALSE)</f>
        <v>0</v>
      </c>
    </row>
    <row r="10" spans="1:12">
      <c r="C10" s="4"/>
      <c r="D10" s="28"/>
      <c r="E10" s="32">
        <f>VLOOKUP(E6,Invoice_Data!B6:T999,5,FALSE)</f>
        <v>0</v>
      </c>
      <c r="F10" s="44">
        <f>VLOOKUP(E6,Invoice_Data!B6:S999,4,FALSE)</f>
        <v>0</v>
      </c>
      <c r="G10" s="8" t="s">
        <v>16</v>
      </c>
    </row>
    <row r="11" spans="1:12" ht="15.75" thickBot="1">
      <c r="C11" s="4"/>
      <c r="D11" s="28"/>
      <c r="E11" s="31"/>
      <c r="F11" s="29"/>
    </row>
    <row r="12" spans="1:12">
      <c r="C12" s="4"/>
    </row>
    <row r="13" spans="1:12">
      <c r="C13" s="4"/>
    </row>
    <row r="14" spans="1:12" ht="15.75" thickBot="1"/>
    <row r="15" spans="1:12" ht="15.75" thickBot="1">
      <c r="D15" s="26" t="s">
        <v>45</v>
      </c>
      <c r="E15" s="26" t="s">
        <v>46</v>
      </c>
      <c r="F15" s="26" t="s">
        <v>26</v>
      </c>
      <c r="G15" s="26" t="s">
        <v>47</v>
      </c>
    </row>
    <row r="16" spans="1:12">
      <c r="D16" s="47">
        <f>VLOOKUP(E6,Invoice_Data!B6:S999,6,FALSE)</f>
        <v>0</v>
      </c>
      <c r="E16" s="48">
        <f>VLOOKUP(E6,Invoice_Data!B6:S999,7,FALSE)</f>
        <v>0</v>
      </c>
      <c r="F16" s="49">
        <f>VLOOKUP(E6,Invoice_Data!B6:S999,9,FALSE)</f>
        <v>3</v>
      </c>
      <c r="G16" s="50">
        <f>VLOOKUP(E6,Invoice_Data!B6:T999,8,FALSE)</f>
        <v>0</v>
      </c>
    </row>
    <row r="17" spans="1:8" ht="15.75" thickBot="1">
      <c r="D17" s="39"/>
      <c r="E17" s="39"/>
      <c r="F17" s="11"/>
      <c r="G17" s="11"/>
    </row>
    <row r="18" spans="1:8" ht="15.75" thickBot="1"/>
    <row r="19" spans="1:8" ht="15.75" thickBot="1">
      <c r="F19" s="34" t="s">
        <v>21</v>
      </c>
      <c r="G19" s="20">
        <f>VLOOKUP(E6,Invoice_Data!B6:S9999,10,FALSE)</f>
        <v>0</v>
      </c>
    </row>
    <row r="20" spans="1:8" ht="15.75" thickBot="1">
      <c r="E20" s="35">
        <f>VLOOKUP(E6,Invoice_Data!B6:T999,13,FALSE)</f>
        <v>5</v>
      </c>
      <c r="F20" s="34" t="s">
        <v>22</v>
      </c>
      <c r="G20" s="21">
        <f>VLOOKUP(E6,Invoice_Data!B6:T999,12,FALSE)</f>
        <v>0</v>
      </c>
    </row>
    <row r="21" spans="1:8" ht="15.75" thickBot="1">
      <c r="D21" s="19"/>
      <c r="E21" s="35">
        <f>VLOOKUP(E6,Invoice_Data!B6:T999,11,FALSE)</f>
        <v>3</v>
      </c>
      <c r="F21" s="34" t="s">
        <v>38</v>
      </c>
      <c r="G21" s="21">
        <f>VLOOKUP(E6,Invoice_Data!B6:T999,14,FALSE)</f>
        <v>0</v>
      </c>
    </row>
    <row r="22" spans="1:8" ht="15.75" thickBot="1">
      <c r="E22" s="51" t="s">
        <v>50</v>
      </c>
      <c r="F22" s="34" t="s">
        <v>4</v>
      </c>
      <c r="G22" s="21">
        <f>G19-G20+G21</f>
        <v>0</v>
      </c>
    </row>
    <row r="23" spans="1:8">
      <c r="G23" s="14" t="str">
        <f>VLOOKUP(E6,Invoice_Data!B6:T999,16,FALSE)</f>
        <v>Paid</v>
      </c>
    </row>
    <row r="25" spans="1:8">
      <c r="E25" s="10"/>
      <c r="H25" s="2"/>
    </row>
    <row r="26" spans="1:8">
      <c r="F26" s="1" t="s">
        <v>5</v>
      </c>
      <c r="G26" s="9"/>
    </row>
    <row r="30" spans="1:8" ht="15.75" thickBot="1">
      <c r="D30" s="11"/>
      <c r="E30" s="17"/>
      <c r="F30" s="12"/>
      <c r="G30" s="13"/>
    </row>
    <row r="31" spans="1:8">
      <c r="D31" s="10"/>
      <c r="E31" s="10"/>
      <c r="F31" s="10"/>
      <c r="G31" s="22"/>
    </row>
    <row r="32" spans="1:8">
      <c r="A32" t="s">
        <v>23</v>
      </c>
      <c r="C32" s="10"/>
      <c r="D32" s="10"/>
      <c r="E32" s="10"/>
      <c r="F32" s="10"/>
      <c r="G32" s="10"/>
      <c r="H32" s="10"/>
    </row>
    <row r="33" spans="3:8">
      <c r="C33" s="10"/>
      <c r="D33" s="10"/>
      <c r="E33" s="10"/>
      <c r="F33" s="10"/>
      <c r="G33" s="10"/>
      <c r="H33" s="10"/>
    </row>
    <row r="34" spans="3:8">
      <c r="C34" s="10"/>
      <c r="D34" s="10"/>
      <c r="E34" s="10"/>
      <c r="F34" s="10"/>
      <c r="G34" s="10"/>
      <c r="H34" s="10"/>
    </row>
    <row r="35" spans="3:8">
      <c r="C35" s="10"/>
      <c r="D35" s="10"/>
      <c r="E35" s="10"/>
      <c r="F35" s="10"/>
      <c r="G35" s="10"/>
      <c r="H35" s="10"/>
    </row>
    <row r="36" spans="3:8">
      <c r="C36" s="10"/>
      <c r="D36" s="10"/>
      <c r="E36" s="10"/>
      <c r="F36" s="10"/>
      <c r="G36" s="10"/>
      <c r="H36" s="10"/>
    </row>
    <row r="37" spans="3:8">
      <c r="C37" s="10"/>
      <c r="D37" s="10"/>
      <c r="E37" s="10"/>
      <c r="F37" s="10"/>
      <c r="G37" s="10"/>
      <c r="H37" s="10"/>
    </row>
    <row r="38" spans="3:8">
      <c r="C38" s="10"/>
      <c r="D38" s="10"/>
      <c r="E38" s="10"/>
      <c r="F38" s="10"/>
      <c r="G38" s="10"/>
      <c r="H38" s="10"/>
    </row>
    <row r="39" spans="3:8">
      <c r="C39" s="10"/>
      <c r="D39" s="10"/>
      <c r="E39" s="10"/>
      <c r="F39" s="10"/>
      <c r="G39" s="10"/>
      <c r="H39" s="10"/>
    </row>
    <row r="40" spans="3:8">
      <c r="C40" s="10"/>
      <c r="D40" s="10"/>
      <c r="E40" s="10"/>
      <c r="F40" s="10"/>
      <c r="G40" s="10"/>
      <c r="H40" s="10"/>
    </row>
    <row r="41" spans="3:8">
      <c r="C41" s="10"/>
      <c r="D41" s="10"/>
      <c r="E41" s="10"/>
      <c r="F41" s="10"/>
      <c r="G41" s="10"/>
      <c r="H41" s="10"/>
    </row>
    <row r="42" spans="3:8">
      <c r="C42" s="10"/>
      <c r="D42" s="10"/>
      <c r="E42" s="10"/>
      <c r="F42" s="10"/>
      <c r="G42" s="10"/>
      <c r="H42" s="10"/>
    </row>
    <row r="43" spans="3:8">
      <c r="C43" s="10"/>
      <c r="D43" s="10"/>
      <c r="E43" s="10"/>
      <c r="F43" s="10"/>
      <c r="G43" s="10"/>
      <c r="H43" s="10"/>
    </row>
    <row r="44" spans="3:8">
      <c r="C44" s="10"/>
      <c r="D44" s="10"/>
      <c r="E44" s="10"/>
      <c r="F44" s="10"/>
      <c r="G44" s="10"/>
      <c r="H44" s="10"/>
    </row>
    <row r="45" spans="3:8">
      <c r="C45" s="10"/>
      <c r="D45" s="10"/>
      <c r="E45" s="10"/>
      <c r="F45" s="10"/>
      <c r="G45" s="10"/>
      <c r="H45" s="10"/>
    </row>
    <row r="46" spans="3:8">
      <c r="C46" s="10"/>
      <c r="D46" s="10"/>
      <c r="E46" s="10"/>
      <c r="F46" s="10"/>
      <c r="G46" s="10"/>
      <c r="H46" s="10"/>
    </row>
    <row r="47" spans="3:8">
      <c r="C47" s="10"/>
      <c r="D47" s="10"/>
      <c r="E47" s="10"/>
      <c r="F47" s="10"/>
      <c r="G47" s="10"/>
      <c r="H47" s="10"/>
    </row>
    <row r="48" spans="3:8">
      <c r="C48" s="10"/>
      <c r="D48" s="10"/>
      <c r="E48" s="10"/>
      <c r="F48" s="10"/>
      <c r="G48" s="10"/>
      <c r="H48" s="10"/>
    </row>
  </sheetData>
  <conditionalFormatting sqref="G23">
    <cfRule type="containsText" dxfId="2" priority="6" operator="containsText" text="Paid">
      <formula>NOT(ISERROR(SEARCH("Paid",G23)))</formula>
    </cfRule>
    <cfRule type="containsText" dxfId="1" priority="7" operator="containsText" text="Due">
      <formula>NOT(ISERROR(SEARCH("Due",G23)))</formula>
    </cfRule>
  </conditionalFormatting>
  <conditionalFormatting sqref="B4">
    <cfRule type="containsText" dxfId="0" priority="1" operator="containsText" text="SELECTED INVOICE NOT FOUND">
      <formula>NOT(ISERROR(SEARCH("SELECTED INVOICE NOT FOUND",B4)))</formula>
    </cfRule>
  </conditionalFormatting>
  <dataValidations count="1">
    <dataValidation type="list" allowBlank="1" showInputMessage="1" showErrorMessage="1" errorTitle="Invalid Invoice ID" error="Invoice not found in the list" sqref="E6">
      <formula1>Invoice_Data!$B$7:$B$9999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Invoice_Template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2018-10-06T10:39:57Z</cp:lastPrinted>
  <dcterms:created xsi:type="dcterms:W3CDTF">2018-06-21T10:46:21Z</dcterms:created>
  <dcterms:modified xsi:type="dcterms:W3CDTF">2018-10-12T11:37:30Z</dcterms:modified>
</cp:coreProperties>
</file>